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\DFTtraining\GSCDB139\Info\"/>
    </mc:Choice>
  </mc:AlternateContent>
  <xr:revisionPtr revIDLastSave="0" documentId="13_ncr:1_{A4C3EFEA-1D07-4014-A270-4AA800A5BAE2}" xr6:coauthVersionLast="47" xr6:coauthVersionMax="47" xr10:uidLastSave="{00000000-0000-0000-0000-000000000000}"/>
  <bookViews>
    <workbookView xWindow="45972" yWindow="2880" windowWidth="30936" windowHeight="16776" xr2:uid="{00000000-000D-0000-FFFF-FFFF00000000}"/>
  </bookViews>
  <sheets>
    <sheet name="Sheet1" sheetId="3" r:id="rId1"/>
    <sheet name="Sheet2" sheetId="12" r:id="rId2"/>
    <sheet name="simple" sheetId="13" r:id="rId3"/>
    <sheet name="Condidataes" sheetId="10" r:id="rId4"/>
    <sheet name="exclude" sheetId="5" r:id="rId5"/>
    <sheet name="RG10N" sheetId="9" r:id="rId6"/>
    <sheet name="MGCDB84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2" l="1"/>
  <c r="D12" i="2"/>
  <c r="F10" i="9"/>
  <c r="F7" i="9"/>
  <c r="F2" i="9"/>
  <c r="C15" i="13"/>
</calcChain>
</file>

<file path=xl/sharedStrings.xml><?xml version="1.0" encoding="utf-8"?>
<sst xmlns="http://schemas.openxmlformats.org/spreadsheetml/2006/main" count="2671" uniqueCount="900">
  <si>
    <t>Name</t>
  </si>
  <si>
    <t>Datatype_Short</t>
  </si>
  <si>
    <t>Datatype</t>
  </si>
  <si>
    <t>Description</t>
  </si>
  <si>
    <t>Theory level</t>
  </si>
  <si>
    <t>#datapoints</t>
  </si>
  <si>
    <t>RMS energy(kcal/mol)</t>
  </si>
  <si>
    <t>min</t>
  </si>
  <si>
    <t>max</t>
  </si>
  <si>
    <t>year for last update</t>
  </si>
  <si>
    <t>MGCDB84</t>
  </si>
  <si>
    <t>GMTKN55</t>
  </si>
  <si>
    <t>Error(kcal/mol)</t>
  </si>
  <si>
    <t>BH28</t>
  </si>
  <si>
    <t>BH</t>
  </si>
  <si>
    <t>Train</t>
  </si>
  <si>
    <t>Barrier Height</t>
  </si>
  <si>
    <t>Highly accurate subset chosen from BHPERI, CRBH20, BHDIV10, and PX13 sets</t>
  </si>
  <si>
    <t>W3lite-F12</t>
  </si>
  <si>
    <t>0.22 on DBH24</t>
  </si>
  <si>
    <t>BH46</t>
  </si>
  <si>
    <t>Barrier heights of hydrogen transfer, heavy atom transfer, nucleophilic substitution, unimolecular and association reactions. This set comprises the remaining data points from BH76 after excluding those included in DBH24.</t>
  </si>
  <si>
    <t>W2-F12</t>
  </si>
  <si>
    <t>HTBH38, NHTBH38</t>
  </si>
  <si>
    <t>BH76</t>
  </si>
  <si>
    <t>BH876</t>
  </si>
  <si>
    <t>Train/Validation</t>
  </si>
  <si>
    <t>Comprehensive reaction barrier heights</t>
  </si>
  <si>
    <t>New</t>
  </si>
  <si>
    <t>HF/a[TQ]Z+MP2/a[TQ]Z+DLPNO-CCSD(T) /aTZ/tight</t>
  </si>
  <si>
    <t>BHDIV7</t>
  </si>
  <si>
    <t>Validation</t>
  </si>
  <si>
    <t>Diverse reaction barrier heights</t>
  </si>
  <si>
    <t>Added to test set</t>
  </si>
  <si>
    <t>W1-F12,W2-F12</t>
  </si>
  <si>
    <t>BHDIV10</t>
  </si>
  <si>
    <t>BHPERI11</t>
  </si>
  <si>
    <t>Barrier heights of pericyclic reactions</t>
  </si>
  <si>
    <t xml:space="preserve">BHPERI26 </t>
  </si>
  <si>
    <t>BHPERI</t>
  </si>
  <si>
    <t>BHROT27</t>
  </si>
  <si>
    <t>Barrier heights for rotation around single bonds</t>
  </si>
  <si>
    <t>CRBH14</t>
  </si>
  <si>
    <t xml:space="preserve">Barrier heights for cycloreversion of heterocyclic rings </t>
  </si>
  <si>
    <t>W1-F12 and W1w</t>
  </si>
  <si>
    <t xml:space="preserve">CRBH20 </t>
  </si>
  <si>
    <t>DBH22</t>
  </si>
  <si>
    <t xml:space="preserve">Highly accurate subset of BH76 </t>
  </si>
  <si>
    <t>kept</t>
  </si>
  <si>
    <t>W4</t>
  </si>
  <si>
    <t xml:space="preserve">DBH24 </t>
  </si>
  <si>
    <t>INV23</t>
  </si>
  <si>
    <t>Inversion/Racemization barrier heights</t>
  </si>
  <si>
    <t>W1-F12,W2-F12, DLPNO-CCSD(T)/TightPNO/CBS(def2-[TQ]ZVPP)</t>
  </si>
  <si>
    <t>INV24</t>
  </si>
  <si>
    <t>ORBH35</t>
  </si>
  <si>
    <t>Difficult barrier heights for oxygen reactions (e.g., vinylperoxy radical and CO3)</t>
  </si>
  <si>
    <t>W3X-L</t>
  </si>
  <si>
    <t>PX9</t>
  </si>
  <si>
    <t>Proton-exchange barriers in H2O, NH3, and HF clusters</t>
  </si>
  <si>
    <t>W1-F12</t>
  </si>
  <si>
    <t>PX13</t>
  </si>
  <si>
    <t>WCPT26</t>
  </si>
  <si>
    <t>Barrier heights of water-catalyzed proton-transfer reactions</t>
  </si>
  <si>
    <t>W2.2, W1</t>
  </si>
  <si>
    <t>WCPT27</t>
  </si>
  <si>
    <t>WCPT18</t>
  </si>
  <si>
    <t>Dip146</t>
  </si>
  <si>
    <t>EF</t>
  </si>
  <si>
    <t>Electric field</t>
  </si>
  <si>
    <t>Dipole moments (including individual components) for 152 small systems at equilibrium</t>
  </si>
  <si>
    <t>CCSD(T)/aCV[TQ]Z or aCV[Q5]Z</t>
  </si>
  <si>
    <t>HR46</t>
  </si>
  <si>
    <t>Static polarizabilities (including individual components) for 46 systems at equilibrium</t>
  </si>
  <si>
    <t>FPA-a[DT]Z to FPA-a[Q5]Z</t>
  </si>
  <si>
    <t>OEEF</t>
  </si>
  <si>
    <t>Relative energies in oriented external electric fields compared to zero field</t>
  </si>
  <si>
    <t>CCSD(T)/aQZ</t>
  </si>
  <si>
    <t>Pol130</t>
  </si>
  <si>
    <t>Static polarizabilities (including individual components) for 132 small systems at equilibrium</t>
  </si>
  <si>
    <t>T144</t>
  </si>
  <si>
    <t>Static polarizabilities (including individual components) for 144 systems at equilibrium</t>
  </si>
  <si>
    <t>FPA-a[DT]Z to FPA-a[TQ]Z</t>
  </si>
  <si>
    <t>V30</t>
  </si>
  <si>
    <t>Frequency</t>
  </si>
  <si>
    <t>Frequencies of small molecular dimers with different polarity combinations (polar-polar, polar-nonpolar, and nonpolar-nonpolar).</t>
  </si>
  <si>
    <t>CCSD(T)/haQZ</t>
  </si>
  <si>
    <t>A19Rel6</t>
  </si>
  <si>
    <t>I</t>
  </si>
  <si>
    <t>Isomerization</t>
  </si>
  <si>
    <t>Relative energies of 19 complexes from the A24 set on potential energy curves (PECs)</t>
  </si>
  <si>
    <t>HF/aQZ+G18+G20</t>
  </si>
  <si>
    <t>A21x12</t>
  </si>
  <si>
    <t>ACONF</t>
  </si>
  <si>
    <t xml:space="preserve">Isomerization energies of alkane conformers </t>
  </si>
  <si>
    <t>W1h-val</t>
  </si>
  <si>
    <t>AlkIsomer11</t>
  </si>
  <si>
    <t>Isomerization energies of alkanes with 4-8 carbon atoms.</t>
  </si>
  <si>
    <t>W1h and W3.2lite</t>
  </si>
  <si>
    <t xml:space="preserve">AlkIsomer11 </t>
  </si>
  <si>
    <t>Amino20x4</t>
  </si>
  <si>
    <t>Isomerization energies of amino acid conformers</t>
  </si>
  <si>
    <t>MP2-F12/TZ-F12 + CCSD(Ts)-F12b/DZ-F12</t>
  </si>
  <si>
    <t xml:space="preserve">CYCONF, YMPJ519 </t>
  </si>
  <si>
    <t>AMINO20x4</t>
  </si>
  <si>
    <t>BUT14DIOL</t>
  </si>
  <si>
    <t>Isomerization energies of butane-1,4-diol conformers</t>
  </si>
  <si>
    <t>Butanediol165</t>
  </si>
  <si>
    <t>C20C246</t>
  </si>
  <si>
    <t xml:space="preserve">Isomerization energies of C20 and C24 </t>
  </si>
  <si>
    <t>MP2-F12/[DT]Z (or MP2/[Q5]Z) +CCSD(T)/TZ</t>
  </si>
  <si>
    <t xml:space="preserve">C20C24 </t>
  </si>
  <si>
    <t>C60ISO7</t>
  </si>
  <si>
    <t>Isomerization energies of C60 isomers</t>
  </si>
  <si>
    <t>HF/CBS(2,3) + DLPNO-CCSD(T)/def2-TZVP corrected by MP2/CBS(2,3)</t>
  </si>
  <si>
    <t>C60ISO</t>
  </si>
  <si>
    <t>DIE60</t>
  </si>
  <si>
    <t>Isomerization energies for double-bond migration in conjugated dienes</t>
  </si>
  <si>
    <t>W1-F12 or W2-F12</t>
  </si>
  <si>
    <t>CDIE20</t>
  </si>
  <si>
    <t>EIE22</t>
  </si>
  <si>
    <t xml:space="preserve">Isomerization energies of enecarbonyls </t>
  </si>
  <si>
    <t xml:space="preserve">EIE22 </t>
  </si>
  <si>
    <t>H2O16Rel4</t>
  </si>
  <si>
    <t xml:space="preserve">Isomerization energies of (H2O)16 (boat and fused cube structures) </t>
  </si>
  <si>
    <t>CCSD(T)/aTZ</t>
  </si>
  <si>
    <t xml:space="preserve">H2O16Rel5 </t>
  </si>
  <si>
    <t>H2O20Rel9</t>
  </si>
  <si>
    <t xml:space="preserve">Isomerization energies of (H2O)20 (low-energy structures) </t>
  </si>
  <si>
    <t>HF/aQZ+MP2/a[TQ]Z+ CCSD(T)-F12/aDZ/GEBF</t>
  </si>
  <si>
    <t xml:space="preserve">H2O20Rel10 </t>
  </si>
  <si>
    <t>GEBF of MP2 has a error about 1.75 kcal/mol</t>
  </si>
  <si>
    <t>ICONF</t>
  </si>
  <si>
    <t>Isomerization energies in conformers of inorganic systems</t>
  </si>
  <si>
    <t>IDISP</t>
  </si>
  <si>
    <t>Intramolecular dispersion interactions</t>
  </si>
  <si>
    <t>DLPNO-CCSD(T)/aug-cc-pV[TQ]Z</t>
  </si>
  <si>
    <t>ISO34</t>
  </si>
  <si>
    <t>Isomerisation energies of small- and medium-sized organic molecules</t>
  </si>
  <si>
    <t>ISOL23</t>
  </si>
  <si>
    <t>Isomerisation energies of large organic molecules</t>
  </si>
  <si>
    <t>PNO-LCCSD(T)-F12b/haQZ/Tight</t>
  </si>
  <si>
    <t>ISOL24</t>
  </si>
  <si>
    <t>a few tenths</t>
  </si>
  <si>
    <t>ISOMERIZATION20</t>
  </si>
  <si>
    <t>Isomerization energies from the W4-11 dataset</t>
  </si>
  <si>
    <t>W4 etc</t>
  </si>
  <si>
    <t>MCONF</t>
  </si>
  <si>
    <t>Isomerization energies of melatonin conformers</t>
  </si>
  <si>
    <t>DLPNO-CCSD(T)/a[TQ]Z</t>
  </si>
  <si>
    <t>Melatonin52</t>
  </si>
  <si>
    <t>PArel</t>
  </si>
  <si>
    <t>Isomerization energies of protonated isomers</t>
  </si>
  <si>
    <t>CCSD(T)/def2-[TQ]ZVPP</t>
  </si>
  <si>
    <t>PCONF21</t>
  </si>
  <si>
    <t>Isomerization energies of tri- and tetrapeptide conformers</t>
  </si>
  <si>
    <t>PCONF</t>
  </si>
  <si>
    <t>&lt;0.05 on ACONF</t>
  </si>
  <si>
    <t>Pentane13</t>
  </si>
  <si>
    <t xml:space="preserve">Isomerization energies of stationary points on the n-pentane torsional surface </t>
  </si>
  <si>
    <t>CCSD(T)-F12b/TZ</t>
  </si>
  <si>
    <t xml:space="preserve">Pentane14 </t>
  </si>
  <si>
    <t>S66Rel7</t>
  </si>
  <si>
    <t>Relative energies of 66 complexes from the S66 set on PECs</t>
  </si>
  <si>
    <t>MP2(F12,CBS)+ CCSD(F12,TZ)+CCSD(T)(sano-V[DT]Z+)</t>
  </si>
  <si>
    <t>S66x8</t>
  </si>
  <si>
    <t>SCONF</t>
  </si>
  <si>
    <t>Isomerization energies of sugar conformers</t>
  </si>
  <si>
    <t>Styrene42</t>
  </si>
  <si>
    <t xml:space="preserve">Isomerization energies of C8H8 </t>
  </si>
  <si>
    <t xml:space="preserve">Styrene45 </t>
  </si>
  <si>
    <t>SW49Rel28</t>
  </si>
  <si>
    <t xml:space="preserve">Isomerization energies of SO42-(H2O)n (n = 3-5) </t>
  </si>
  <si>
    <t>HF/aQZ+MP2/a[TQ]Z+CCSD(T) /aTZ</t>
  </si>
  <si>
    <t xml:space="preserve">SW49Rel345 </t>
  </si>
  <si>
    <t>TAUT15</t>
  </si>
  <si>
    <t>Isomerization energies of tautomers</t>
  </si>
  <si>
    <t>W1-F12//SCS(1.1,0.6)-MP2/def2-QZVP</t>
  </si>
  <si>
    <t>UPU23</t>
  </si>
  <si>
    <t xml:space="preserve">Isomerization energies of RNA-backbone conformers </t>
  </si>
  <si>
    <t>3B-69</t>
  </si>
  <si>
    <t>NC</t>
  </si>
  <si>
    <t>Noncovalent</t>
  </si>
  <si>
    <t xml:space="preserve">3-Body non-additive interaction energies in three different orientations of 23 molecular crystals </t>
  </si>
  <si>
    <t>HF/aQZ+MP2/a[TQ]Z+CCSD(T) /aDZ. For dozen small cases, CCSD(T) /aTZ used</t>
  </si>
  <si>
    <t xml:space="preserve">3B-69-TRIM </t>
  </si>
  <si>
    <t>3BHET</t>
  </si>
  <si>
    <t>3-Body non-additive interaction energies in molecular trimers</t>
  </si>
  <si>
    <t>HF/a5Z+MP2/a[Q5]Z+CCSD(T) /aDZ. For small cases, CCSD(T) /aTZ used</t>
  </si>
  <si>
    <t>A24</t>
  </si>
  <si>
    <t xml:space="preserve">Highly accurate binding energies of small non-covalent complexes </t>
  </si>
  <si>
    <t>CCSD(T)/aug-cc-pV[TQ5(6)]Z + CCSDT(Q)/aDZ</t>
  </si>
  <si>
    <t>ADIM6</t>
  </si>
  <si>
    <t>Interaction energies of n-alkane dimers</t>
  </si>
  <si>
    <t>AHB21</t>
  </si>
  <si>
    <t xml:space="preserve">Interaction energies in anion-neutral dimers </t>
  </si>
  <si>
    <t>CCSD(T)(many, like F12-[DT]Z, [TQ]Z)</t>
  </si>
  <si>
    <t>Ionic43</t>
  </si>
  <si>
    <t>Bauza30</t>
  </si>
  <si>
    <t xml:space="preserve">Binding energies of halogen-, chalcogen-, and pnicogen-bonded dimers </t>
  </si>
  <si>
    <t>CCSD(T)/a[Q5]Z half CP</t>
  </si>
  <si>
    <t xml:space="preserve">Bauza30 </t>
  </si>
  <si>
    <t>BzDC215</t>
  </si>
  <si>
    <t xml:space="preserve">PECs for benzene interacting with two rare-gas atoms and eight first- and second-row hydrides </t>
  </si>
  <si>
    <t>CARBHB8</t>
  </si>
  <si>
    <t xml:space="preserve">Binding energies of hydrogen-bonded complexes between carbene analogues and H2O, NH3, or HCl </t>
  </si>
  <si>
    <t>CARBHB12</t>
  </si>
  <si>
    <t>CHB6</t>
  </si>
  <si>
    <t xml:space="preserve">Interaction energies in cation-neutral dimers </t>
  </si>
  <si>
    <t>CT20</t>
  </si>
  <si>
    <t xml:space="preserve">Binding energies of charge-transfer complexes </t>
  </si>
  <si>
    <t>CCSD(T)-F12b/TZ. For TTF-TCNQ, HF/aQZ+MP2/a[TQ]Z+CCSD(T) /6-31G*(0.25)</t>
  </si>
  <si>
    <t xml:space="preserve">CT20 </t>
  </si>
  <si>
    <t>DS14</t>
  </si>
  <si>
    <t>Binding energies of complexes containing divalent sulfur</t>
  </si>
  <si>
    <t>FmH2O10</t>
  </si>
  <si>
    <t xml:space="preserve">Binding energies of isomers of F-(H2O)10 </t>
  </si>
  <si>
    <t>HF/aQZ+MP2/a[TQ]Z+ CCSD(T)-F12/aDZ</t>
  </si>
  <si>
    <t xml:space="preserve">FmH2O10 </t>
  </si>
  <si>
    <t>HB49</t>
  </si>
  <si>
    <t xml:space="preserve">Binding energies of small- and medium-sized hydrogen-bonded systems </t>
  </si>
  <si>
    <t>W4-like for 16 small ones, then HF/a[56]Z+MP2/a[56]Z+CCSD(T) /a[TQ]Z</t>
  </si>
  <si>
    <t xml:space="preserve">HB49 </t>
  </si>
  <si>
    <t>HB262</t>
  </si>
  <si>
    <t xml:space="preserve">Binding energies of hydrogen-bonded systems </t>
  </si>
  <si>
    <t>HF/a5Z+MP2/a[Q5]Z+CCSD(T) /haTZ</t>
  </si>
  <si>
    <t>HCP32</t>
  </si>
  <si>
    <t>He3</t>
  </si>
  <si>
    <t>3-Body non-additive interaction energies in helium trimers</t>
  </si>
  <si>
    <t>CCSD(T)/d[67]Z +….+ FCI/a3Z</t>
  </si>
  <si>
    <t>HEAVY28</t>
  </si>
  <si>
    <t>Binding energies between heavy element hydrides</t>
  </si>
  <si>
    <t>CCSD(T)/awCV[TQ]Z-PP, CP-corrected</t>
  </si>
  <si>
    <t>HSG</t>
  </si>
  <si>
    <t>Binding energies of small ligands interacting with protein receptors</t>
  </si>
  <si>
    <t>HF/aQZ+MP2/a[TQ]Z+CCSD(T) /haTZ</t>
  </si>
  <si>
    <t>HW30</t>
  </si>
  <si>
    <t xml:space="preserve">Binding energies of hydrocarbon-water dimers </t>
  </si>
  <si>
    <t>MP2-R12/K2--+CCSD(T) /haTZ</t>
  </si>
  <si>
    <t>HW6Cl5</t>
  </si>
  <si>
    <t xml:space="preserve">Binding energies of Cl-(H2O)n (n = 1-6) </t>
  </si>
  <si>
    <t>CCSD(T)-F12/[DT]Z</t>
  </si>
  <si>
    <t xml:space="preserve">HW6Cl </t>
  </si>
  <si>
    <t>HW6F</t>
  </si>
  <si>
    <t xml:space="preserve">Binding energies of F-(H2O)n (n =1-6) </t>
  </si>
  <si>
    <t xml:space="preserve">HW6F </t>
  </si>
  <si>
    <t>IHB100</t>
  </si>
  <si>
    <t>Binding energies of equilibrium ionic hydrogen-bonded dimers in the HCNO chemical space.</t>
  </si>
  <si>
    <t>IHB100x2</t>
  </si>
  <si>
    <t xml:space="preserve">Binding energies of ionic hydrogen bonds at 0.8 and 1.5 times the equilibrium disctance in IHB100 </t>
  </si>
  <si>
    <t>IL16</t>
  </si>
  <si>
    <t xml:space="preserve">Interaction energies in anion-cation dimers </t>
  </si>
  <si>
    <t>NBC10</t>
  </si>
  <si>
    <t>PECs for BzBz (5), BzMe (1), MeMe (1), BzH2S (1), and PyPy (2)</t>
  </si>
  <si>
    <t>0.023 on A24</t>
  </si>
  <si>
    <t>NC11</t>
  </si>
  <si>
    <t xml:space="preserve">Binding energies of very small non-covalent complexes </t>
  </si>
  <si>
    <t>CCSD(T)/CBS + T(Q)/aug-cc-pVTZ</t>
  </si>
  <si>
    <t>NC15</t>
  </si>
  <si>
    <t>O24</t>
  </si>
  <si>
    <t>Interaction energies in 24 small high-spin open-shell dimers</t>
  </si>
  <si>
    <t>CCSD(T)/a[Q5]Z</t>
  </si>
  <si>
    <t>O24x4</t>
  </si>
  <si>
    <t>PECs for O24</t>
  </si>
  <si>
    <t>PNICO23</t>
  </si>
  <si>
    <t>Interaction energies in pnicogen-containing dimers</t>
  </si>
  <si>
    <t>W2-F12, W1-F12 for 3 large systems</t>
  </si>
  <si>
    <t>RG10N</t>
  </si>
  <si>
    <t xml:space="preserve">PECs for the 10 rare-gas dimers involving helium through krypton </t>
  </si>
  <si>
    <t xml:space="preserve">RG10 </t>
  </si>
  <si>
    <t>RG18</t>
  </si>
  <si>
    <t>Interaction energies in rare-gas complexes</t>
  </si>
  <si>
    <t>CCSD(T)/a[TQ]Z for all dimer interaction energies and otherwise CCSD(T)/aug-cc-pwCV[TQ]Z</t>
  </si>
  <si>
    <t>S22</t>
  </si>
  <si>
    <t>Binding energies of noncovalently bound dimers</t>
  </si>
  <si>
    <t>at least HF/aQZ+MP2/a[TQ]Z+CCSD(T) /aTZ</t>
  </si>
  <si>
    <t>S66</t>
  </si>
  <si>
    <t>extrapolation of aDZ and aTZ is worse than aTZ alone</t>
  </si>
  <si>
    <t>Shields38</t>
  </si>
  <si>
    <t xml:space="preserve">Binding energies of (H2O)n (n = 2 - 10) </t>
  </si>
  <si>
    <t>PLATINUM: through (H2O)6; GOLD: (H2O)7; and SILVER: (H2O)n=8–10</t>
  </si>
  <si>
    <t xml:space="preserve">Shields38 </t>
  </si>
  <si>
    <t>SW49Bind22</t>
  </si>
  <si>
    <t xml:space="preserve">Binding energies of isomers of SO42-(H2O) (n = 3 -5) </t>
  </si>
  <si>
    <t xml:space="preserve">SW49Bind345 </t>
  </si>
  <si>
    <t>TA13</t>
  </si>
  <si>
    <t xml:space="preserve">Binding energies of dimers involving radicals </t>
  </si>
  <si>
    <t>CCSD(T)/a'[Q5]Z+T/TZ+ (Q) /DZ+ core/aQZ</t>
  </si>
  <si>
    <t xml:space="preserve">TA13 </t>
  </si>
  <si>
    <t>WATER27</t>
  </si>
  <si>
    <t>Binding energies in (H2O)n, H+(H2O)n and OH-(H2O)n</t>
  </si>
  <si>
    <t xml:space="preserve">MP2-F12/[Q5]Z CP + CCSD(F12*)/a[DT]Z CP + CCSD(T)/ha[DT]Z CP for neutral and protonated water clusters, [TQ]Z anionic clusters. MP2-F12/[TQ]Z CP + Two-body{CCSD(F12*)/QZ + (T)/ha[TQ]Z} + Three-body{CCSD(F12*)/TZ + (T)/ha[DT]Z} for (H2O)20 </t>
  </si>
  <si>
    <t xml:space="preserve">WATER27, H2O20Bind4, H2O20Rel4 </t>
  </si>
  <si>
    <t>(H2O)20 RMS difference is 0.51 kcal/mol with another paper</t>
  </si>
  <si>
    <t>X40</t>
  </si>
  <si>
    <t xml:space="preserve">Binding energies of complexes containing halogenated molecules </t>
  </si>
  <si>
    <t>half-CP MP2-F12/[TQ]Z-F12 + half-CP CCSD(T)/ha[TQ]Z (or ha[DT]Z)</t>
  </si>
  <si>
    <t>HAL59</t>
  </si>
  <si>
    <t>X40x5</t>
  </si>
  <si>
    <t>PECs for X40</t>
  </si>
  <si>
    <t xml:space="preserve">Binding energies of small halogen-bonded dimers </t>
  </si>
  <si>
    <t>XB18</t>
  </si>
  <si>
    <t xml:space="preserve">Binding energies of large halogen-bonded dimers </t>
  </si>
  <si>
    <t>XB51</t>
  </si>
  <si>
    <t>AE11</t>
  </si>
  <si>
    <t>TC</t>
  </si>
  <si>
    <t>Thermochemistry</t>
  </si>
  <si>
    <t>Absolute atomic energies of closed shell atoms from Ar to Rn</t>
  </si>
  <si>
    <t>CCSD(T) corrected by MP2</t>
  </si>
  <si>
    <t>AE18</t>
  </si>
  <si>
    <t xml:space="preserve">Absolute atomic energies of hydrogen through argon </t>
  </si>
  <si>
    <t>Experimental fitting</t>
  </si>
  <si>
    <t xml:space="preserve">AE18 </t>
  </si>
  <si>
    <t>0.06-2.4 difference of two estimates</t>
  </si>
  <si>
    <t>AL2X6</t>
  </si>
  <si>
    <t>Dimerisation energies of AlX3 compounds</t>
  </si>
  <si>
    <t xml:space="preserve">AL2X6 </t>
  </si>
  <si>
    <t>ALK8</t>
  </si>
  <si>
    <t>Dissociation and other reactions of alkaline compounds</t>
  </si>
  <si>
    <t>CCSD(T)/awCV[TQ]Z//PBEh-3c</t>
  </si>
  <si>
    <t>AlkAtom19</t>
  </si>
  <si>
    <t>Atomization energies of n=1-8 alkane</t>
  </si>
  <si>
    <t>quasi-W4,W1h and W3.2lite for reaction energies and W4 values for ethane and propane</t>
  </si>
  <si>
    <t>0.24 vs Exp.</t>
  </si>
  <si>
    <t>ALKBDE10</t>
  </si>
  <si>
    <t>Dissociation energies in group-1 and -2 diatomics (many MR)</t>
  </si>
  <si>
    <t>Exp.</t>
  </si>
  <si>
    <t>2017(15)</t>
  </si>
  <si>
    <t>AlkIsod14</t>
  </si>
  <si>
    <t>Isodesmic reaction energies in n = 3–8 alkanes.</t>
  </si>
  <si>
    <t>BDE99MR</t>
  </si>
  <si>
    <t>Multi-reference (MR) bond dissociation energies from W4-11</t>
  </si>
  <si>
    <t xml:space="preserve">BDE99MR </t>
  </si>
  <si>
    <t>BDE99nonMR</t>
  </si>
  <si>
    <t>Single-reference (SR) bond dissociation energies from W4-11</t>
  </si>
  <si>
    <t xml:space="preserve">BDE99nonMR </t>
  </si>
  <si>
    <t>BH76RC</t>
  </si>
  <si>
    <t>Reaction energies of the BH76 set</t>
  </si>
  <si>
    <t>BSR36</t>
  </si>
  <si>
    <t>Hydrocarbon bond separation reaction energies</t>
  </si>
  <si>
    <t>DLPNO-CCSD(T)/TightPNO/CBS(aug-cc-pVTZ/aug-cc-pVQZ)</t>
  </si>
  <si>
    <t>CR20</t>
  </si>
  <si>
    <t>Cycloreversion reaction energies</t>
  </si>
  <si>
    <t>W1w and W1-F12</t>
  </si>
  <si>
    <t xml:space="preserve">CR20 </t>
  </si>
  <si>
    <t>DARC</t>
  </si>
  <si>
    <t>Reaction energies of Diels-Alder reactions</t>
  </si>
  <si>
    <t>DC13</t>
  </si>
  <si>
    <t>13 difficult cases for DFT methods</t>
  </si>
  <si>
    <t>Various</t>
  </si>
  <si>
    <t>DIPCS9</t>
  </si>
  <si>
    <t>Double-ionisation potentials of closed-shell systems</t>
  </si>
  <si>
    <t>DIPCS10</t>
  </si>
  <si>
    <t>0.72, 2.13 (MR) vs W4</t>
  </si>
  <si>
    <t>EA50</t>
  </si>
  <si>
    <t>Vertical electron affinities</t>
  </si>
  <si>
    <t>EKT-CCSD(T)/aQZ</t>
  </si>
  <si>
    <t>FH51</t>
  </si>
  <si>
    <t>Reaction energies in various (in-)organic systems</t>
  </si>
  <si>
    <t>HF/QZ-F12+CABS +MP2/QZ-F12+CCSD(F12*)/TZ-F12 +(T)/[DT]Z-F12</t>
  </si>
  <si>
    <t>2015(13)</t>
  </si>
  <si>
    <t>G21EA</t>
  </si>
  <si>
    <t>Adiabatic electron affinities</t>
  </si>
  <si>
    <t>W3</t>
  </si>
  <si>
    <t>G21IP</t>
  </si>
  <si>
    <t>Adiabatic ionisation potentials</t>
  </si>
  <si>
    <t>G2RC24</t>
  </si>
  <si>
    <t>Reaction energies of selected systems from G2/97 set</t>
  </si>
  <si>
    <t>G2RC</t>
  </si>
  <si>
    <t>HAT707MR</t>
  </si>
  <si>
    <t>Heavy-atom transfer energies (MR) from W4-11</t>
  </si>
  <si>
    <t xml:space="preserve">HAT707MR </t>
  </si>
  <si>
    <t>HAT707nonMR</t>
  </si>
  <si>
    <t>Heavy-atom transfer energies (SR) from W4-11</t>
  </si>
  <si>
    <t xml:space="preserve">HAT707nonMR </t>
  </si>
  <si>
    <t>HEAVYSB11</t>
  </si>
  <si>
    <t>Dissociation energies in heavy-element (i.e. Ge Se Sb) compounds</t>
  </si>
  <si>
    <t>CCSD(T)/awCV[TQ]Z-PP</t>
  </si>
  <si>
    <t>HNBrBDE18</t>
  </si>
  <si>
    <t>Homolytic N-Br bond dissociation energies</t>
  </si>
  <si>
    <t>W2</t>
  </si>
  <si>
    <t>0.57,1.85 vs W4</t>
  </si>
  <si>
    <t>IP23</t>
  </si>
  <si>
    <t>Vertical ionization potentials</t>
  </si>
  <si>
    <t>IP30</t>
  </si>
  <si>
    <t>IP-EOM-CCSD(T)/QZ + T/TZ</t>
  </si>
  <si>
    <t>MB08-165</t>
  </si>
  <si>
    <t>Decomposition energies of 165 artificially constructed molecules, each containing 8 atoms</t>
  </si>
  <si>
    <t>CCSD(T)/[TQ]Z + core/cc-pCVTZ</t>
  </si>
  <si>
    <t>MB16-43</t>
  </si>
  <si>
    <t>Decomposition energies of 43 artificially constructed molecules, each containing 16 atoms</t>
  </si>
  <si>
    <t>MX34</t>
  </si>
  <si>
    <t>Electronic atomization energies for a range of ionic clusters with the NaCl structure</t>
  </si>
  <si>
    <t>W2 and W1X-2</t>
  </si>
  <si>
    <t>NBPRC</t>
  </si>
  <si>
    <t>Oligomerizations and H2 fragmentations of NH3/BH3, H2 activation reactions with PH3/BH3 systems</t>
  </si>
  <si>
    <t>P34</t>
  </si>
  <si>
    <t>The atomization energies, ionization potentials, and electron affinities of systems containing heavy p-block elements up to xenon</t>
  </si>
  <si>
    <t>W1-P34</t>
  </si>
  <si>
    <t>PA26</t>
  </si>
  <si>
    <t>Adiabatic proton affinities including amino acids</t>
  </si>
  <si>
    <t xml:space="preserve">W1-F12,W2-F12, CCSD(T)/def2-[TQ]ZVPP//PBEh-3c </t>
  </si>
  <si>
    <t>PlatonicHD6</t>
  </si>
  <si>
    <t>Reaction energies of homodesmotic reactions involving platonic hydrocarbon cages, CnHn (n = 4, 6, 8, 10, 12, 20)</t>
  </si>
  <si>
    <t>PlatonicID6</t>
  </si>
  <si>
    <t>Reaction energies of isodesmic reactions involving platonic hydrocarbon cages, CnHn (n = 4, 6, 8, 10, 12, 20)</t>
  </si>
  <si>
    <t>PlatonicIG6</t>
  </si>
  <si>
    <t>Reaction energies of isogyric reactions involving platonic hydrocarbon cages, CnHn (n = 4, 6, 8, 10, 12, 20)</t>
  </si>
  <si>
    <t>PlatonicTAE6</t>
  </si>
  <si>
    <t>Total atomization energies of platonic hydrocarbon cages, CnHn (n = 4, 6, 8, 10, 12, 20)</t>
  </si>
  <si>
    <t>RC21</t>
  </si>
  <si>
    <t>Fragmentations and rearrangements in organic radical cations</t>
  </si>
  <si>
    <t>RSE43</t>
  </si>
  <si>
    <t>Radical stabilization energies</t>
  </si>
  <si>
    <t>SIE4x4</t>
  </si>
  <si>
    <t>Self-interaction-error related problems</t>
  </si>
  <si>
    <t>0.55,1.39 (MR) vs W4</t>
  </si>
  <si>
    <t>SN13</t>
  </si>
  <si>
    <t xml:space="preserve">Nucleophilic substitution energies </t>
  </si>
  <si>
    <t xml:space="preserve">SN13 </t>
  </si>
  <si>
    <t>TAE_W4-17MR</t>
  </si>
  <si>
    <t>Total atomization energies (MR) from W4-17</t>
  </si>
  <si>
    <t xml:space="preserve">TAE140MR </t>
  </si>
  <si>
    <t>TAE_W4-17nonMR</t>
  </si>
  <si>
    <t xml:space="preserve">Total atomization energies (SR) from W4-17 </t>
  </si>
  <si>
    <t xml:space="preserve">TAE140nonMR </t>
  </si>
  <si>
    <t>sigma =0.08</t>
  </si>
  <si>
    <t>WCPT6</t>
  </si>
  <si>
    <t xml:space="preserve">Tautomerization energies for water-catalyzed proton-transfer reactions </t>
  </si>
  <si>
    <t>W2.2</t>
  </si>
  <si>
    <t>YBDE18</t>
  </si>
  <si>
    <t>Bond-dissociation energies in ylides</t>
  </si>
  <si>
    <t>2017(12)</t>
  </si>
  <si>
    <t>3d4dIPSS</t>
  </si>
  <si>
    <t>TM</t>
  </si>
  <si>
    <t>Transition Metal</t>
  </si>
  <si>
    <t>Spin-state relative energies and ionization potentials for first-row (3d) and second-row (4d) transition metals</t>
  </si>
  <si>
    <t>Mixed</t>
  </si>
  <si>
    <t>CUAGAU83</t>
  </si>
  <si>
    <t>Atomization, ionization, isomerization, and binding energies  of molecular systems containing Cu, Ag, and Au</t>
  </si>
  <si>
    <t>CM3 values for reactions 1-3 and CM1 energies for 4-14,W1X-G0 for CUAGAU2</t>
  </si>
  <si>
    <t>good agreement with CM1</t>
  </si>
  <si>
    <t>DAPD</t>
  </si>
  <si>
    <t>Difficult bonding energies of Pd-containing diatomic molecules</t>
  </si>
  <si>
    <t>W4X-L: up to CCSDTQ(5)</t>
  </si>
  <si>
    <t>MME52</t>
  </si>
  <si>
    <t>Reaction energies and barrier heights of metalloenzyme models</t>
  </si>
  <si>
    <t>DLPNO–CCSD(T)/def2-[TQ]ZVPP</t>
  </si>
  <si>
    <t>MOBH28</t>
  </si>
  <si>
    <t>Barrier heights involving organometallic complexes</t>
  </si>
  <si>
    <t>LNO-CCSD/def2-[TQ]ZVPP+(T)/def2-{SVP,TZVPP}+canonical/def2-SVP</t>
  </si>
  <si>
    <t>ROST61</t>
  </si>
  <si>
    <t>Reaction energies of reactions involving open-shell single-reference transition-metal complexes</t>
  </si>
  <si>
    <t>Open-Shell DLPNO-CCSD(T, or T1)/def2-[TQ]ZVPP</t>
  </si>
  <si>
    <t>2.5, 1.0 from local approximation, 0.5 from BSIE and BSSE, 1 from frozen core, more from open-shell</t>
  </si>
  <si>
    <t>TMD10</t>
  </si>
  <si>
    <t>Statistically significant subsets from TMD60, which contain bonding energies for diatomic transition-metal species</t>
  </si>
  <si>
    <t xml:space="preserve"> </t>
  </si>
  <si>
    <t>MOR13</t>
  </si>
  <si>
    <t>Statistically significant subsets from MOR41, which contain the reaction energies of closed-shell organometallic reactions</t>
  </si>
  <si>
    <t>TMB11</t>
  </si>
  <si>
    <t>Statistically significant subsets from TMB50, which contain reaction barriers involving transition metal complexes</t>
  </si>
  <si>
    <t>Basis set abbreviation:</t>
  </si>
  <si>
    <t>XZ means cc-pVXZ,</t>
  </si>
  <si>
    <t>aXZ means aug-cc-pVXZ</t>
  </si>
  <si>
    <t>haXZ means  aug-cc-pVXZ for non-hydrogen atoms and cc-pVXZ for hydrogens</t>
  </si>
  <si>
    <t>[XY] means extrapolation from two basis sets, X and Y</t>
  </si>
  <si>
    <t>Old1</t>
  </si>
  <si>
    <t>Old2</t>
  </si>
  <si>
    <t>Settype2683</t>
  </si>
  <si>
    <t>Settype2186</t>
  </si>
  <si>
    <t>BH9</t>
  </si>
  <si>
    <t>Validation/Test</t>
  </si>
  <si>
    <t>Test</t>
  </si>
  <si>
    <t>CRBH20</t>
  </si>
  <si>
    <t>DBH24</t>
  </si>
  <si>
    <t>ORBH36</t>
  </si>
  <si>
    <t>Dip152</t>
  </si>
  <si>
    <t>Pol132</t>
  </si>
  <si>
    <t>frequency</t>
  </si>
  <si>
    <t>Heavy</t>
  </si>
  <si>
    <t>C20C24</t>
  </si>
  <si>
    <t>H2O16Rel5</t>
  </si>
  <si>
    <t>H2O20Rel10</t>
  </si>
  <si>
    <t>Pentane14</t>
  </si>
  <si>
    <t>Styrene45</t>
  </si>
  <si>
    <t>SW49Rel345</t>
  </si>
  <si>
    <t>H2O20Bind10</t>
  </si>
  <si>
    <t>H2O6Bind8</t>
  </si>
  <si>
    <t>HW6Cl</t>
  </si>
  <si>
    <t>RG10</t>
  </si>
  <si>
    <t>SW49Bind345</t>
  </si>
  <si>
    <t>EA52</t>
  </si>
  <si>
    <t>MX35</t>
  </si>
  <si>
    <t>CUAGAU</t>
  </si>
  <si>
    <t>CUAGAU2</t>
  </si>
  <si>
    <t>MME55</t>
  </si>
  <si>
    <t>Train/Validation/Test</t>
  </si>
  <si>
    <t>TMC34</t>
  </si>
  <si>
    <t>#</t>
  </si>
  <si>
    <r>
      <rPr>
        <sz val="12"/>
        <color rgb="FF000000"/>
        <rFont val="Times New Roman"/>
        <charset val="134"/>
      </rPr>
      <t xml:space="preserve">Ref </t>
    </r>
    <r>
      <rPr>
        <b/>
        <sz val="12"/>
        <color rgb="FF000000"/>
        <rFont val="Times New Roman"/>
        <charset val="134"/>
      </rPr>
      <t>value</t>
    </r>
    <r>
      <rPr>
        <sz val="12"/>
        <color rgb="FF000000"/>
        <rFont val="Times New Roman"/>
        <charset val="134"/>
      </rPr>
      <t xml:space="preserve"> Resource</t>
    </r>
  </si>
  <si>
    <t>Ref original paper</t>
  </si>
  <si>
    <t>Highly accurate set chosen from BHPERI, CRBH20, BHDIV10, and PX13 set</t>
  </si>
  <si>
    <t>J. Phys. Chem. A 2019, 123, 31, 6720–6732</t>
  </si>
  <si>
    <t>Barrier heights of hydrogen transfer, heavy atom transfer, nucleophilic substitution, unimolecular and association reactions</t>
  </si>
  <si>
    <t>J. Chem. Theory Comput. 2022, 18, 1, 151</t>
  </si>
  <si>
    <t>J. Comput. Chem., 2015, 36, 622</t>
  </si>
  <si>
    <t>Chem. Phys. 458, 1–8 (2015)</t>
  </si>
  <si>
    <t>J. Phys. Chem. A 2008, 112, 50, 12868–12886</t>
  </si>
  <si>
    <t>J. Chem. Theory Comput. 2007, 3, 2, 569–582</t>
  </si>
  <si>
    <t>Inversion/racemisation barrier heights</t>
  </si>
  <si>
    <t>Can. J. Chem., 2016, 94 , 1133 —1143</t>
  </si>
  <si>
    <t>Barrier heights for oxygen reactions (e.g., vinylperoxy radical and CO3)</t>
  </si>
  <si>
    <t>Phys. Chem. Chem. Phys., 2018, 20, 10732-10740</t>
  </si>
  <si>
    <t>J. Chem. Theory Comput. 2012, 8, 9, 3128–3136</t>
  </si>
  <si>
    <t>J. Phys. Chem. A 2012, 116, 16, 4211–4221</t>
  </si>
  <si>
    <t>J. Chem. Theory Comput. 2018, 14, 1969</t>
  </si>
  <si>
    <t>J. Chem. Theory Comput. 2023, 19, 3112−3122</t>
  </si>
  <si>
    <t>J. Chem. Phys. 159, 124111 (2023)</t>
  </si>
  <si>
    <t>Phys. Chem. Chem. Phys., 2018, 20, 19800--19810</t>
  </si>
  <si>
    <t>Frequencies of molecular dimers with different polarity combinations (polar-polar, polar-nonpolar, and nonpolar-nonpolar).</t>
  </si>
  <si>
    <t>J. Chem. Theory Comput. 2015, 11, 4, 1481–1492</t>
  </si>
  <si>
    <t>J. Phys. Chem. A 2009, 113, 43, 11974–11983</t>
  </si>
  <si>
    <t>J. Phys. Chem. A 2009, 113, 29, 8434–8447</t>
  </si>
  <si>
    <t>J. Chem. Theory Comput. 2016, 12, 1, 444–454</t>
  </si>
  <si>
    <t>J. Phys. Chem. A 2016, 120, 1, 153–160</t>
  </si>
  <si>
    <t>Phys. Chem. Chem. Phys., 2017, 19, 14296</t>
  </si>
  <si>
    <t>Chem. Phys. 441, 166–177 (2014)</t>
  </si>
  <si>
    <t>Mol. Phys. 113, 1284–1296 (2015)</t>
  </si>
  <si>
    <t>J. Phys. Chem. Lett. 2010, 1, 20, 3122–3127</t>
  </si>
  <si>
    <t>J. Phys. Chem. A 2015, 119, 2, 235–252</t>
  </si>
  <si>
    <t>J. Chem. Theory Comput. 2023, 19, 20, 7007</t>
  </si>
  <si>
    <t>Phys. Chem. Chem. Phys., 2010, 12, 6940</t>
  </si>
  <si>
    <t>W4-11</t>
  </si>
  <si>
    <t>J. Phys. Chem. A 2013, 117, 14, 3118–3132</t>
  </si>
  <si>
    <t>Phys. Chem. Chem. Phys., 2022, 24, 25555-25570</t>
  </si>
  <si>
    <t>Mol. Phys. 110, 2477–2491 (2012)</t>
  </si>
  <si>
    <t>J. Chem. Theory Comput. 2013, 9, 3, 1368–1380</t>
  </si>
  <si>
    <t>J. Chem. Theory Comput. 2015, 11, 10, 4972–4991</t>
  </si>
  <si>
    <t xml:space="preserve">3-Body non-additive interaction energies in three different orientations of 23 distinct molecular crystals </t>
  </si>
  <si>
    <t xml:space="preserve"> J. Chem. Theory Comput. 2015, 11, 7, 3065–3079</t>
  </si>
  <si>
    <t>Phys. Chem. Chem. Phys., 2023, 25, 28621-28637</t>
  </si>
  <si>
    <t xml:space="preserve">Binding energies of small non-covalent complexes </t>
  </si>
  <si>
    <t>Phys. Chem. Chem. Phys., 2015,17, 19268-19277</t>
  </si>
  <si>
    <t>J. Chem. Theory Comput. 2013, 9, 5, 2151–2155</t>
  </si>
  <si>
    <t>J. Chem. Theory Comput. 2015, 11, 6, 2473–2486</t>
  </si>
  <si>
    <t>J. Chem. Theory Comput. 2014, 10, 12, 5436–5447</t>
  </si>
  <si>
    <t>J. Chem. Theory Comput. 2013, 9, 11, 5201–5210</t>
  </si>
  <si>
    <t>J. Phys. Chem. A 2009, 113, 8, 1663–1669</t>
  </si>
  <si>
    <t>J. Chem. Theory Comput. 2012, 8, 5, 1629–1640</t>
  </si>
  <si>
    <t>J. Phys. Chem. A 116, 1086–1092 (2012)</t>
  </si>
  <si>
    <t xml:space="preserve">Binding energies of isomers of (H2O)20 (low-energy structures) </t>
  </si>
  <si>
    <t xml:space="preserve">Binding energies of isomers of (H2O)6 </t>
  </si>
  <si>
    <t>Mol. Phys. 113, 1618–1629 (2015)</t>
  </si>
  <si>
    <t>J. Phys. Chem. A 2017, 121, 49, 9544–9556</t>
  </si>
  <si>
    <t>Phys. Chem. Chem. Phys., 2023, 25, 23395</t>
  </si>
  <si>
    <t>J. Chem. Phys. 135, 194102 (2011)</t>
  </si>
  <si>
    <t xml:space="preserve"> J. Chem. Theory Comput. 2012, 8, 5, 1646–1656</t>
  </si>
  <si>
    <t>Binding energies of equilibrium ionic hydrogen bonds in the HCNO chemical space.</t>
  </si>
  <si>
    <t>J. Chem. Theory Comput. 2020, 16, 4, 2355–2368</t>
  </si>
  <si>
    <t xml:space="preserve"> J. Chem. Theory Comput. 2014, 10, 8, 3140–3150</t>
  </si>
  <si>
    <t>J. Chem. Phys. 154, 134106 (2021)</t>
  </si>
  <si>
    <t xml:space="preserve">Theoretical estimated PECs for the 10 rare-gas dimers involving helium through krypton </t>
  </si>
  <si>
    <t>Phys. Chem. Chem. Phys. 8, 1985–1993 (2006)</t>
  </si>
  <si>
    <t>Mol. Phys. 2023, 121, 11–12, e2109526</t>
  </si>
  <si>
    <t>J. Chem. Theory Comput. 2011, 7, 11, 3466–3470</t>
  </si>
  <si>
    <t>J. Chem. Theory Comput. 2017, 13, 7, 3136–3152</t>
  </si>
  <si>
    <t>J. Phys. Chem. A 2011, 115, 43, 12034–12046</t>
  </si>
  <si>
    <t>J. Chem. Theory Comput. 2013, 9, 3, 1568–1579</t>
  </si>
  <si>
    <t>J. Chem. Theory Comput., 2009, 5, 1016–1026.</t>
  </si>
  <si>
    <t>J. Phys. Chem. A 2018, 122, 8, 2184</t>
  </si>
  <si>
    <t>J. Chem. Theory Comput. 2012, 8, 11, 4285–4292</t>
  </si>
  <si>
    <t>J. Chem. Theory Comput. 2013, 9, 4, 1918–1931</t>
  </si>
  <si>
    <t>J. Chem. Theory Comput. 2018, 14, 1, 180</t>
  </si>
  <si>
    <t>J. Chem. Phys. 134, 044102 (2011)</t>
  </si>
  <si>
    <t>Phys. Rev. A 47, 3649–3670 (1993)</t>
  </si>
  <si>
    <t>J. Chem. Theory Comput. 2015, 11, 7, 2968</t>
  </si>
  <si>
    <t>Mol. Phys. 114, 21–33 (2016)</t>
  </si>
  <si>
    <t>GMTKN55 and other</t>
  </si>
  <si>
    <t>J. Chem. Theory Comput. 2021, 17, 12, 7648–7656</t>
  </si>
  <si>
    <t>J. Chem. Theory Comput. 2015, 11, 8, 3596</t>
  </si>
  <si>
    <t>G2-1 set</t>
  </si>
  <si>
    <t>Reaction energies of selected G2/97 systems</t>
  </si>
  <si>
    <t>Int. J. Quantum Chem. 116, 52–60 (2016)</t>
  </si>
  <si>
    <t>Reference Energies for Valence Ionizations and Satellite Transitions</t>
  </si>
  <si>
    <t>J. Chem. Phys. 156, 054114 (2022); J. Chem. Phys. 150, 074108 (2019)</t>
  </si>
  <si>
    <t>Decomposition energies of artificial molecules that consisted of 8 atoms each</t>
  </si>
  <si>
    <t>J. Chem. Theory Comput. 2009, 5, 4, 993</t>
  </si>
  <si>
    <t>Decomposition energies of artificial molecules that consisted of 16 atoms each</t>
  </si>
  <si>
    <t>J. Phys. Chem. A 2023, 127, 27, 5652</t>
  </si>
  <si>
    <t>Oligomerisations and H2 fragmentations of NH3/BH3, H2 activation reactions with PH3/BH3 systems</t>
  </si>
  <si>
    <t>J. Chem. Theory Comput. 2021, 17, 9, 5704–5714</t>
  </si>
  <si>
    <t>Adiabatic proton affinities (incl. of amino acids)</t>
  </si>
  <si>
    <t>J. Comput. Chem. 37, 49–58 (2016)</t>
  </si>
  <si>
    <t>QCEIMS</t>
  </si>
  <si>
    <t>Radical-stabilisation energies</t>
  </si>
  <si>
    <t>W4-17</t>
  </si>
  <si>
    <t>Spin state relative energies and ionization potentials for first-row (3d) and second-row (4d) transition metals.</t>
  </si>
  <si>
    <t>Reaction energies of molecular systems containing Cu, Ag, and Au</t>
  </si>
  <si>
    <t>J. Phys. Chem. A 2019, 123, 5781−5788</t>
  </si>
  <si>
    <t>atomization, ionization, isomerization, and binding energies for copper, silver, and gold clusters and their complexes with prototypical ligands</t>
  </si>
  <si>
    <t>Int J Quantum Chem. 2021;121:e26453.</t>
  </si>
  <si>
    <t>Bonding energies of Pd-containing diatomic molecules.</t>
  </si>
  <si>
    <t>J. Chem. Theory Comput. 2023, 19, 9260</t>
  </si>
  <si>
    <t>J. Chem. Theory Comput. 2023, 19, 22, 8365–8383; J. Phys. Chem. A 2024, 128, 1, 62–72</t>
  </si>
  <si>
    <t>J. Chem. Theory Comput. 2022, 18, 883; Isr. J. Chem. 2023, 63, e202200021</t>
  </si>
  <si>
    <t>J. Chem. Theory Comput. 2021, 17, 6134−6151</t>
  </si>
  <si>
    <t>Statistically significant subsets from MOR41, TMD60, and TMB50 datasets, including the reaction energies of closed-shell organometallic reactions, bonding energies for diatomic transition-metal species, and reaction barriers involving transition metal complexes</t>
  </si>
  <si>
    <t>NIST NO2</t>
  </si>
  <si>
    <t>J. Phys. Chem. A 2022, 126, 30, 4981–4990</t>
  </si>
  <si>
    <t>G2/97</t>
  </si>
  <si>
    <t>J. Chem. Theory Comput. 2015, 11, 5, 2109–2119</t>
  </si>
  <si>
    <t>3dCSS</t>
  </si>
  <si>
    <t>https://doi.org/10.1021/acs.jctc.4c00092</t>
  </si>
  <si>
    <t>TMCONF5</t>
  </si>
  <si>
    <t>DLPNO-CCSD(T1)/def2-[TQ]ZVPP</t>
  </si>
  <si>
    <t>Relative energies in transitional metal conformers (5 systems, 5 confomers each)</t>
  </si>
  <si>
    <t>Phys. Chem. Chem. Phys., 2021, 23, 287-299</t>
  </si>
  <si>
    <t>Fe Difficult</t>
  </si>
  <si>
    <t>CCSDT/mixed-ζ cc-pVXZ or CCSDTQ</t>
  </si>
  <si>
    <t>transition energy of FeCN, FeNC; fifth proton binding energies of [Fe(SH)4H]-</t>
  </si>
  <si>
    <t>J. Phys. Chem. A 2015, 119, 1, 215; J. Chem. Phys. 159, 044106 (2023)</t>
  </si>
  <si>
    <t>ACONFL</t>
  </si>
  <si>
    <t>Intramolecular noncovalent</t>
  </si>
  <si>
    <t>Relative conformational energies of dodecane, hexadecane, icosane conformers</t>
  </si>
  <si>
    <t>J. Chem. Theory Comput. 2023, 19, 20, 7007</t>
  </si>
  <si>
    <t>J. Phys. Chem. A 2022, 126, 22, 3521–3535</t>
  </si>
  <si>
    <t>Paper</t>
  </si>
  <si>
    <t>Reason</t>
  </si>
  <si>
    <t xml:space="preserve">Water solved glycine </t>
  </si>
  <si>
    <t>Phys. Chem. Chem. Phys., 2020,22, 3855-3866</t>
  </si>
  <si>
    <t>1.For small cluster, we have had enough water data points. 
2. wB97M-V good enough for this data set
3. For big cluster, the method DLPNO-CCSD(T)/cc-pV[DT]Z is not accurate enough</t>
  </si>
  <si>
    <t>DLPNO-CCSD(T)/cc-pV[DT]Z</t>
  </si>
  <si>
    <t>C–F bond dissociation energies</t>
  </si>
  <si>
    <t>J. Phys. Chem. A 2023, 127, 38, 7943–7953</t>
  </si>
  <si>
    <t>wB97M-V good enough for this data set</t>
  </si>
  <si>
    <t>TightPNO-DLPNO-CCSD(T0)/aug-cc-pV[TQ]Z</t>
  </si>
  <si>
    <t>W1X-quality Heats of Formation for a Large Set of C, H, N, and O Species in the NIST Chemistry Webbook</t>
  </si>
  <si>
    <t>BH2O-36</t>
  </si>
  <si>
    <t>J. Chem. Theory Comput. 2023, 19, 3159</t>
  </si>
  <si>
    <t>HF/def2-[TQ]ZVPP+MP2/def2-[TQ]ZVPP+CCSD(T)/def2-TZVP</t>
  </si>
  <si>
    <t>B–F Bond Dissociation</t>
  </si>
  <si>
    <t>Molecules 2023, 28(15), 5707</t>
  </si>
  <si>
    <t>BCl25BDE </t>
  </si>
  <si>
    <t>Mongolian Journal of Chemistry, 23(49), 9–18. </t>
  </si>
  <si>
    <t>wB97 good enough for this data set</t>
  </si>
  <si>
    <t>W1w </t>
  </si>
  <si>
    <t>SNCIAA</t>
  </si>
  <si>
    <t>J. Chem. Phys. 158, 094301 (2023)</t>
  </si>
  <si>
    <t>Barrier Heights for Diels−Alder</t>
  </si>
  <si>
    <t>J. Phys. Chem. Lett. 2023, 14, 6522</t>
  </si>
  <si>
    <t>DLPNO–CCSD(T)/maug-cc-pCV[TQ]Z</t>
  </si>
  <si>
    <t>Atlas</t>
  </si>
  <si>
    <t>MP2/[Q5]Z+CCSD(T) /haTZ (or haDZ)</t>
  </si>
  <si>
    <t>Carbo31 and 33</t>
  </si>
  <si>
    <t>Phys. Chem. Chem. Phys., 2023, 25, 1903
J. Chem. Theory Comput. 2022, 18, 1, 167</t>
  </si>
  <si>
    <t>wB97M-V good enough for Carbo31 data set</t>
  </si>
  <si>
    <t>DLPNO-CCSD(T)/a[DTQ]Z and W1-F12</t>
  </si>
  <si>
    <t>ArBDE14</t>
  </si>
  <si>
    <t>Chemical Physics 531 (2020) 110676</t>
  </si>
  <si>
    <t>W1</t>
  </si>
  <si>
    <t>S66a8</t>
  </si>
  <si>
    <t>J. Chem. Theory Comput. 2011, 7, 11, 3466–3470</t>
  </si>
  <si>
    <t>not accurate enough</t>
  </si>
  <si>
    <t>HF/aQZ+MP2/a[TQ]Z+CCSD(T) /aDZ</t>
  </si>
  <si>
    <t>C6X-C2Xn</t>
  </si>
  <si>
    <t>Chemical Physics 493 (2017) 12–19</t>
  </si>
  <si>
    <t>wB97M-V good enough for dispersion</t>
  </si>
  <si>
    <t>W1-F12 and MP2/[TQ]Z+(T) /(T+d)Z</t>
  </si>
  <si>
    <t>Ionized (H2O)n+</t>
  </si>
  <si>
    <t>Int. J. Quantum Chem. 120, e26100 (2020)</t>
  </si>
  <si>
    <t>wB97M-V good enough for water clusters and ionized hydrogen bonds</t>
  </si>
  <si>
    <t>CCSD(T)/a[TQ]Z</t>
  </si>
  <si>
    <t>Fluxional4</t>
  </si>
  <si>
    <t>Phys. Chem. Chem. Phys., 2021, 23, 10888</t>
  </si>
  <si>
    <t>only 4 data points</t>
  </si>
  <si>
    <t>J. Chem. Theory Comput. 2022, 18, 1, 151</t>
  </si>
  <si>
    <t>Too much data (898)</t>
  </si>
  <si>
    <t>NENCI-2021</t>
  </si>
  <si>
    <t>Non-equilibirum non-covalent interaction energies</t>
  </si>
  <si>
    <t>Too much data (~8000)</t>
  </si>
  <si>
    <t>HF/QZ+MP2/[TQ]Z+CCSD(T) /haTZ</t>
  </si>
  <si>
    <t>Too much data (&gt;10000)</t>
  </si>
  <si>
    <t>CHAL336</t>
  </si>
  <si>
    <t>J. Chem. Theory Comput. 2021, 17, 5, 2783–2806</t>
  </si>
  <si>
    <t>Too much data (336)</t>
  </si>
  <si>
    <t>W1-F12, DLPNO-CCSD(T)/aug-cc-pwCV[TQ]Z</t>
  </si>
  <si>
    <t>L7</t>
  </si>
  <si>
    <t>J. Phys. Chem. A 2022, 126, 4326-4341</t>
  </si>
  <si>
    <t>The reference energies have inconsistency between DLPNO-CCSD(T) and MC</t>
  </si>
  <si>
    <t>HF+MP2 +DLPNO-CCSD(T)/ha[DT]Z</t>
  </si>
  <si>
    <t>ENZYMES28</t>
  </si>
  <si>
    <t>J. Phys. Chem. A 2019, 123, 32, 7057–7074</t>
  </si>
  <si>
    <t>DLPNO-CCSD(T)/aug-cc-pwCV[TQ]Z</t>
  </si>
  <si>
    <t>H2Bind275</t>
  </si>
  <si>
    <t>J. Chem. Theory Comput. 2020, 16, 4963−4982</t>
  </si>
  <si>
    <t>HF/5Z+MP2/[Q5]Z+CCSD(T) /aTZ+core/TZ</t>
  </si>
  <si>
    <t>BHs of Re-Catalyzed Organic Reactions </t>
  </si>
  <si>
    <t>J. Chem. Theory Comput. 2014, 10, 2, 579</t>
  </si>
  <si>
    <t>DZ is too small</t>
  </si>
  <si>
    <t>CCSD(T)-F12b/ADZ</t>
  </si>
  <si>
    <t>Acidic Zeolite</t>
  </si>
  <si>
    <t>J. Phys. Chem. Lett. 2020, 11, 11, 4305–4310</t>
  </si>
  <si>
    <t>DLPNO–CCSD(T)/DZ+ others</t>
  </si>
  <si>
    <t>Hydrated Transition Metal Ions</t>
  </si>
  <si>
    <t>J. Chem. Theory Comput. 2022, 18, 3, 1619</t>
  </si>
  <si>
    <t>DK is used to include relativistic effect</t>
  </si>
  <si>
    <t> DLPNO-CCSD(T1)/TightPNO/cc-pwCVTZ-DK</t>
  </si>
  <si>
    <t>3d IP EA; 4d IP</t>
  </si>
  <si>
    <t>IPs for MO3 and MO2 for M = U, Mo, W, and Nd</t>
  </si>
  <si>
    <t>J. Phys. Chem. A 2020, 124, 34, 6913</t>
  </si>
  <si>
    <t>NO2 with Groups IV and VI</t>
  </si>
  <si>
    <t>J. Phys. Chem. A 2020, 124, 44, 9222</t>
  </si>
  <si>
    <t>only ΔH298K reported</t>
  </si>
  <si>
    <t>MO2, MO3, and M2O5 for M = V, Nb, Ta, Pa</t>
  </si>
  <si>
    <t>Phys. Chem. Chem. Phys., 2023, 25, 8355</t>
  </si>
  <si>
    <t>Pericyclic5</t>
  </si>
  <si>
    <t>Phys. Chem. Chem. Phys., 2022, 24, 18028-18042</t>
  </si>
  <si>
    <t xml:space="preserve">too few data (5), some overlap with BH28 </t>
  </si>
  <si>
    <t>HF/ha[TQ5]Z+MP2/ha[Q5]Z+ CCSD(T)/ha[TQ]Z+T/DZ+ (Q) /DZ+ core/cc-pCVTZ</t>
  </si>
  <si>
    <t>S22(3)</t>
  </si>
  <si>
    <t>J. Phys. Chem. A 2019, 123, 39, 8406–8416</t>
  </si>
  <si>
    <t>Only provide dispersion interaction energies (CCSD(T) - HF), instead of interaction energies</t>
  </si>
  <si>
    <t>Band gaps of 25 simple solids</t>
  </si>
  <si>
    <t>J. Chem. Theory Comput. 2022, 18, 7336</t>
  </si>
  <si>
    <t>Do not know how to calculate</t>
  </si>
  <si>
    <t>experimental</t>
  </si>
  <si>
    <t>Normalized clustering energies (NCEs) of group IVB (MO2)n (M = Ti, Zr, Hf) and VIB (MO3)n (M = Cr, Mo, W)</t>
  </si>
  <si>
    <t>J. Phys. Chem. A 2009, 113, 27, 7861</t>
  </si>
  <si>
    <t>Lazy to summarize these data sets by David A. Dixon</t>
  </si>
  <si>
    <t>hemisorption addition of CO2 to M3O6 and M3O6– for M = Ti, Zr, and Hf </t>
  </si>
  <si>
    <t>J. Phys. Chem. A 2020, 124, 26, 5402</t>
  </si>
  <si>
    <t>Additionally, it is hard to find the reference data</t>
  </si>
  <si>
    <t>Metal Carbonates and Bicarbonates and Their Hydrates for Mg, Ca, Fe, and Cd</t>
  </si>
  <si>
    <t>J. Phys. Chem. A 2020, 124, 9, 1829</t>
  </si>
  <si>
    <t>CCSD(T)/a[DTQ]Z</t>
  </si>
  <si>
    <t>Carbonates and Bicarbonates of Mn, Co, Ni, Cu, and Zn</t>
  </si>
  <si>
    <t>J. Phys. Chem. A 2022, 126, 43, 7874</t>
  </si>
  <si>
    <t>Binding energy of SO3 to Group 4 </t>
  </si>
  <si>
    <t>J. Phys. Chem. A 2023, 127, 45, 9541</t>
  </si>
  <si>
    <t>CCSD(T)/a[DTQ]Z for monomer addition, aDZ for others</t>
  </si>
  <si>
    <t>MO2, MO3, and M2O5 for M = V, Nb, Ta, Pa</t>
  </si>
  <si>
    <t>IP and BDEs of Zr meteal</t>
  </si>
  <si>
    <t>J Comput Chem.2023;44:506</t>
  </si>
  <si>
    <t>too few data</t>
  </si>
  <si>
    <t>CCSD(T)/aug-cc-pwCVQZ-PP for IP, PNO-CCSD(T)/def2-TZVP//TPSS/6-31G**[LANL2DZ] for BDE</t>
  </si>
  <si>
    <t>adiabatic ionization energies of metallocenes</t>
  </si>
  <si>
    <t>Phys. Chem. Chem. Phys., 2023, 25, 4570</t>
  </si>
  <si>
    <t>too few data(6), DK is used</t>
  </si>
  <si>
    <t>DLPNO–CCSD(T)/[TQ]Z-DK</t>
  </si>
  <si>
    <t>BDEs for the 60 Metal–Oxygen Interactions</t>
  </si>
  <si>
    <t>J. Phys. Chem. C 2019, 123, 30, 18432</t>
  </si>
  <si>
    <t>Overlap with TMC34? Can be used if wanted</t>
  </si>
  <si>
    <t>CCSD(T)/def2-QZVPP</t>
  </si>
  <si>
    <t>TMD18</t>
  </si>
  <si>
    <t>all-electron CCSD(T)/awCV[TQ5]Z + T/[TQ]Z + Q/TZ + P/DZ</t>
  </si>
  <si>
    <t>18 no bond length</t>
  </si>
  <si>
    <r>
      <rPr>
        <sz val="12"/>
        <rFont val="Times New Roman"/>
        <charset val="134"/>
      </rPr>
      <t xml:space="preserve">bond energies for the borides, sulphides, and carbides of Sc, Ti, V, Y, Zr, Nb
</t>
    </r>
    <r>
      <rPr>
        <sz val="12"/>
        <color rgb="FFFF0000"/>
        <rFont val="Times New Roman"/>
        <charset val="134"/>
      </rPr>
      <t>no strunctures</t>
    </r>
  </si>
  <si>
    <t>Molecular Physics, Volume 119, 2021, e1963001</t>
  </si>
  <si>
    <t>MOR41</t>
  </si>
  <si>
    <t>DLPNO-CCSD(T)/def2-[TQ]ZVPP</t>
  </si>
  <si>
    <t>Reaction energies of 41 closed-shell organometallic reactions</t>
  </si>
  <si>
    <t>def2-QZVPP</t>
  </si>
  <si>
    <t>J. Chem. Theory Comput. 2018, 14, 2596−2608</t>
  </si>
  <si>
    <t>TMD60</t>
  </si>
  <si>
    <t>Experimental for the spieces not in TMD20</t>
  </si>
  <si>
    <t>bond energies for 60 diatomic transition-metal species</t>
  </si>
  <si>
    <t>J. Chem. Theory Comput. 2018, 14, 7, 3479</t>
  </si>
  <si>
    <t>TMD20</t>
  </si>
  <si>
    <t>all-electron CCSD(T)/a[Q5]Z + T/a[TQ]Z + Q/DZ</t>
  </si>
  <si>
    <t>A subset of TMD60</t>
  </si>
  <si>
    <t>J. Chem. Theory Comput. 2017, 13, 3, 1044</t>
  </si>
  <si>
    <t>TMB50</t>
  </si>
  <si>
    <t>Some like CCSD(T)/a[DT]Z or local  CCSD(T)</t>
  </si>
  <si>
    <t>50 hard to summarize</t>
  </si>
  <si>
    <t>reaction barriers involving complexes of second- and third-row transition metals, contained in TMC151</t>
  </si>
  <si>
    <t>2012-2015</t>
  </si>
  <si>
    <t>J. Chem. Theory Comput. 2019, 15, 6, 3610</t>
  </si>
  <si>
    <t>RuLRLC</t>
  </si>
  <si>
    <t>CCSD(T)/def2-TZVPP</t>
  </si>
  <si>
    <t>80. No stoichiometry info, hard to summarize
TZ is not big enough, either</t>
  </si>
  <si>
    <t>ligand replacement and ligand coordination energies of Ru(II, III) chloride carbonyl catalysis</t>
  </si>
  <si>
    <t>def2-TZVPP</t>
  </si>
  <si>
    <t>J. Phys. Chem. A 2021, 125, 8987</t>
  </si>
  <si>
    <t>EA25</t>
  </si>
  <si>
    <t>CCSD(T)/CBS or better</t>
  </si>
  <si>
    <r>
      <rPr>
        <sz val="12"/>
        <rFont val="Times New Roman"/>
        <charset val="134"/>
      </rPr>
      <t xml:space="preserve">Adiabatic electron affinities
</t>
    </r>
    <r>
      <rPr>
        <sz val="12"/>
        <color rgb="FFFF0000"/>
        <rFont val="Times New Roman"/>
        <charset val="134"/>
      </rPr>
      <t>No breakdown energies for molecules</t>
    </r>
  </si>
  <si>
    <t>J. Chem. Phys. 144, 014105 (2016)</t>
  </si>
  <si>
    <t>OPV24</t>
  </si>
  <si>
    <t>CCSD(T)/a[DT]Z+MP2/a[TQ]Z</t>
  </si>
  <si>
    <t>(Added if I am short of EA data)</t>
  </si>
  <si>
    <t>±0.03 eV</t>
  </si>
  <si>
    <t>IP and EA of organic photovoltaics</t>
  </si>
  <si>
    <t>J. Chem. Theory Comput. 2016, 12, 2, 595</t>
  </si>
  <si>
    <t>3B-69-DIM </t>
  </si>
  <si>
    <t>207 </t>
  </si>
  <si>
    <t>deleted due to low accuracy</t>
  </si>
  <si>
    <t>Binding energies of all relevant pairs of monomers from 3B-69-TRIM </t>
  </si>
  <si>
    <t>5.87 </t>
  </si>
  <si>
    <t> J. Chem. Theory Comput. 2015, 11, 7, 3065–3079</t>
  </si>
  <si>
    <t>AlkBind12 </t>
  </si>
  <si>
    <t>12 </t>
  </si>
  <si>
    <t>Binding energies of saturated and unsaturated hydrocarbon dimers </t>
  </si>
  <si>
    <t>3.14 </t>
  </si>
  <si>
    <t>J. Chem. Theory Comput. 2012, 8, 7, 2282–2292</t>
  </si>
  <si>
    <t>CO2Nitrogen16 </t>
  </si>
  <si>
    <t>HF/a5Z+MP2/a[Q5]Z+CCSD(T) /aDZ (or aTZ for small molecules, or laDZ for C22)</t>
  </si>
  <si>
    <t>16 </t>
  </si>
  <si>
    <t>Binding energies of CO2 to molecular models of pyridinic N-doped graphene </t>
  </si>
  <si>
    <t>3.84 </t>
  </si>
  <si>
    <t>Phys. Chem. Chem. Phys. 17, 16560–16574 (2015).</t>
  </si>
  <si>
    <t>SW49Bind6 </t>
  </si>
  <si>
    <t>18 </t>
  </si>
  <si>
    <t>Binding energies of isomers of SO42-(H2O)6 </t>
  </si>
  <si>
    <t>62.11 </t>
  </si>
  <si>
    <t>SW49Rel6 </t>
  </si>
  <si>
    <t>Isomerization energies of SO42-(H2O)6 </t>
  </si>
  <si>
    <t>1.22 </t>
  </si>
  <si>
    <t>CE20</t>
  </si>
  <si>
    <t>deleted due to overlap with NC15 and A24</t>
  </si>
  <si>
    <t>Binding energies of water, ammonia, and hydrogen fluoride clusters</t>
  </si>
  <si>
    <t>J. Chem. Theory Comput. 2012, 8, 9, 3128–3136</t>
  </si>
  <si>
    <t>GEBF of MP2 has a error 1.75 kcal/mol</t>
  </si>
  <si>
    <t>Easy</t>
  </si>
  <si>
    <t xml:space="preserve">H2O20Bind10 </t>
  </si>
  <si>
    <t>deleted due to overlap with Shields38</t>
  </si>
  <si>
    <t xml:space="preserve">H2O6Bind8 </t>
  </si>
  <si>
    <t>He-He</t>
  </si>
  <si>
    <t>explicitly correlated wave functions</t>
  </si>
  <si>
    <t>PRL 119, 123401 (2017)</t>
  </si>
  <si>
    <t>He–Ne Ne–Ar</t>
  </si>
  <si>
    <t>CCSD(T)/aug-cc-pV6Z-33211</t>
  </si>
  <si>
    <t>Molecular Physics, 2004 102:1, 101-110,</t>
  </si>
  <si>
    <t>Ne–Ne</t>
  </si>
  <si>
    <t>CCSD(T)/taV[56]Z(44332) + T/daVQZ(3321) + (Q)/daVTZ(3321) +Core/dawCV5Z</t>
  </si>
  <si>
    <t>Molecular Physics, 2008 106:1, 133-140</t>
  </si>
  <si>
    <t>He–Ar</t>
  </si>
  <si>
    <t>CCSD(T)/AE/av5z(not aug-cc-pV5Z)</t>
  </si>
  <si>
    <t>J. Chem. Phys. 143, 114313 (2015)</t>
  </si>
  <si>
    <t>Ar–Ar</t>
  </si>
  <si>
    <t>up to CCSDTQ, see Table X</t>
  </si>
  <si>
    <t>J. Chem. Phys. 133, 094304, 2010</t>
  </si>
  <si>
    <t>He–Kr</t>
  </si>
  <si>
    <t>up to CCSDTQ</t>
  </si>
  <si>
    <t>J. Chem. Phys. 146, 214302 (2017)</t>
  </si>
  <si>
    <t>Ne–Kr, Ar-Kr</t>
  </si>
  <si>
    <t>up to CCSDT(Q)</t>
  </si>
  <si>
    <t>Journal of Quantitative Spectroscopy &amp; Radiative Transfer 288 (2022) 108244</t>
  </si>
  <si>
    <t>Kr–Kr</t>
  </si>
  <si>
    <t>J. Chem. Phys. 144, 114304 (2016)</t>
  </si>
  <si>
    <t>Set</t>
  </si>
  <si>
    <t>Number</t>
  </si>
  <si>
    <t>Weight</t>
  </si>
  <si>
    <t>NCED</t>
  </si>
  <si>
    <t>HB15</t>
  </si>
  <si>
    <t>NCEC</t>
  </si>
  <si>
    <t>PriTest</t>
  </si>
  <si>
    <t>SW49Bind6</t>
  </si>
  <si>
    <t>3B-69-DIM</t>
  </si>
  <si>
    <t>SecTest</t>
  </si>
  <si>
    <t>AlkBind12</t>
  </si>
  <si>
    <t>CO2Nitrogen16</t>
  </si>
  <si>
    <t>3B-69-TRIM</t>
  </si>
  <si>
    <t>H2O20Bind4</t>
  </si>
  <si>
    <t>NCD</t>
  </si>
  <si>
    <t>IE</t>
  </si>
  <si>
    <t>Butanediol65</t>
  </si>
  <si>
    <t>CYCONF</t>
  </si>
  <si>
    <t>SW49Rel6</t>
  </si>
  <si>
    <t>H2O20Rel4</t>
  </si>
  <si>
    <t>YMPJ519</t>
  </si>
  <si>
    <t>ID</t>
  </si>
  <si>
    <t>TCE</t>
  </si>
  <si>
    <t>TAE140nonMR</t>
  </si>
  <si>
    <t>EA13</t>
  </si>
  <si>
    <t>IP13</t>
  </si>
  <si>
    <t>TCD</t>
  </si>
  <si>
    <t>TAE140MR</t>
  </si>
  <si>
    <t>BHPERI26</t>
  </si>
  <si>
    <t>HTBH38</t>
  </si>
  <si>
    <t>NHTBH38</t>
  </si>
  <si>
    <t>–</t>
  </si>
  <si>
    <t>Barrier heights involving organometallic complexes compiled from real-life organometallic catalytic problems</t>
  </si>
  <si>
    <t>ISO</t>
  </si>
  <si>
    <t>FREQ</t>
  </si>
  <si>
    <t>INC</t>
  </si>
  <si>
    <t>Intramolecular Noncovalent</t>
  </si>
  <si>
    <t>P34AE</t>
  </si>
  <si>
    <t>P34EA</t>
  </si>
  <si>
    <t>P34IP</t>
  </si>
  <si>
    <t>The atomization energies of systems containing heavy p-block elements up to xenon</t>
  </si>
  <si>
    <t>The electron affinities of systems containing heavy p-block elements up to xenon</t>
  </si>
  <si>
    <t>The ionization potentials of systems containing heavy p-block elements up to xenon</t>
  </si>
  <si>
    <t>CCSD(T)/a[Q5]Z, CCSD(T)/aTZ+MP2/a[Q5]Z</t>
  </si>
  <si>
    <t>XB51,XB18</t>
  </si>
  <si>
    <t>Binding energies of halogen-bonded dimers, compiled from XB51 and XB18 after excluding same systems in X40</t>
  </si>
  <si>
    <t>XB25</t>
  </si>
  <si>
    <t>PlatonicRE18</t>
  </si>
  <si>
    <t>Reaction energies of homodesmotic, isodesmic, and isogyric reactions involving platonic hydrocarbon cages, CnHn (n = 4, 6, 8, 10, 12, 20)</t>
  </si>
  <si>
    <t>half-CP HF+CABS/aQZ-F12 + CP MP2-F12/a[TQ]Z-F12+ CP CCSD(F12*)/ha[DT]Z-F12+CP (T)/ha[TQ]Z+T(Q)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</si>
</sst>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 "/>
  </numFmts>
  <fonts count="10">
    <font>
      <sz val="10"/>
      <color rgb="FF000000"/>
      <name val="Times New Roman"/>
      <charset val="204"/>
    </font>
    <font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2"/>
      <color rgb="FF000000"/>
      <name val="Times New Roman"/>
      <charset val="134"/>
    </font>
    <font>
      <sz val="12"/>
      <color theme="1"/>
      <name val="Times New Roman"/>
      <charset val="134"/>
    </font>
    <font>
      <sz val="12"/>
      <name val="Times New Roman"/>
      <charset val="134"/>
    </font>
    <font>
      <u/>
      <sz val="10"/>
      <color theme="10"/>
      <name val="Times New Roman"/>
      <charset val="134"/>
    </font>
    <font>
      <sz val="12"/>
      <color rgb="FFFF0000"/>
      <name val="Times New Roman"/>
      <charset val="134"/>
    </font>
    <font>
      <sz val="16"/>
      <color theme="1"/>
      <name val="Times New Roman"/>
      <charset val="134"/>
    </font>
    <font>
      <b/>
      <sz val="12"/>
      <color rgb="FF000000"/>
      <name val="Times New Roman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0" fontId="8" fillId="0" borderId="0">
      <alignment vertical="center"/>
    </xf>
    <xf numFmtId="0" fontId="1" fillId="0" borderId="0"/>
  </cellStyleXfs>
  <cellXfs count="18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10" fontId="3" fillId="0" borderId="0" xfId="0" applyNumberFormat="1" applyFont="1" applyAlignment="1">
      <alignment horizontal="left" vertical="top"/>
    </xf>
    <xf numFmtId="0" fontId="3" fillId="0" borderId="0" xfId="0" applyFont="1" applyAlignment="1">
      <alignment vertical="top" wrapText="1"/>
    </xf>
    <xf numFmtId="0" fontId="5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center" vertical="top"/>
    </xf>
    <xf numFmtId="164" fontId="3" fillId="0" borderId="0" xfId="0" applyNumberFormat="1" applyFont="1" applyAlignment="1">
      <alignment horizontal="left" vertical="top"/>
    </xf>
    <xf numFmtId="0" fontId="6" fillId="0" borderId="0" xfId="1" applyAlignment="1">
      <alignment horizontal="left" vertical="top"/>
    </xf>
    <xf numFmtId="0" fontId="7" fillId="0" borderId="0" xfId="0" applyFont="1" applyAlignment="1">
      <alignment horizontal="left" vertical="top"/>
    </xf>
    <xf numFmtId="11" fontId="3" fillId="0" borderId="0" xfId="0" applyNumberFormat="1" applyFont="1" applyAlignment="1">
      <alignment horizontal="center" vertical="top"/>
    </xf>
    <xf numFmtId="165" fontId="3" fillId="0" borderId="0" xfId="0" applyNumberFormat="1" applyFont="1" applyAlignment="1">
      <alignment horizontal="center" vertical="top"/>
    </xf>
    <xf numFmtId="0" fontId="4" fillId="0" borderId="0" xfId="3" applyFont="1" applyAlignment="1">
      <alignment horizontal="left" vertical="top"/>
    </xf>
    <xf numFmtId="0" fontId="5" fillId="0" borderId="0" xfId="3" applyFont="1" applyAlignment="1">
      <alignment horizontal="left" vertical="top"/>
    </xf>
    <xf numFmtId="0" fontId="4" fillId="2" borderId="0" xfId="0" applyFont="1" applyFill="1" applyAlignment="1">
      <alignment horizontal="left" vertical="top"/>
    </xf>
  </cellXfs>
  <cellStyles count="4">
    <cellStyle name="Hyperlink" xfId="1" builtinId="8"/>
    <cellStyle name="Normal" xfId="0" builtinId="0"/>
    <cellStyle name="常规 2" xfId="2" xr:uid="{00000000-0005-0000-0000-000031000000}"/>
    <cellStyle name="常规 3" xfId="3" xr:uid="{00000000-0005-0000-0000-00003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jctc.4c00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3"/>
  <sheetViews>
    <sheetView tabSelected="1" zoomScale="115" zoomScaleNormal="115" workbookViewId="0">
      <pane xSplit="1" ySplit="1" topLeftCell="B2" activePane="bottomRight" state="frozen"/>
      <selection pane="topRight"/>
      <selection pane="bottomLeft"/>
      <selection pane="bottomRight" activeCell="E1" sqref="E1:E1048576"/>
    </sheetView>
  </sheetViews>
  <sheetFormatPr defaultColWidth="8.76171875" defaultRowHeight="15.3"/>
  <cols>
    <col min="1" max="1" width="33.76171875" style="4" customWidth="1"/>
    <col min="2" max="2" width="14.05859375" style="8" customWidth="1"/>
    <col min="3" max="3" width="23.3515625" style="8" customWidth="1"/>
    <col min="4" max="4" width="52.41015625" style="7" customWidth="1"/>
    <col min="5" max="5" width="33.8203125" style="3" customWidth="1"/>
    <col min="6" max="6" width="9.41015625" style="5" customWidth="1"/>
    <col min="7" max="9" width="9.1171875" style="9" customWidth="1"/>
    <col min="10" max="10" width="8.76171875" style="3"/>
    <col min="11" max="11" width="14.41015625" style="3" customWidth="1"/>
    <col min="12" max="12" width="12.41015625" style="3" customWidth="1"/>
    <col min="13" max="13" width="12.76171875" style="3" customWidth="1"/>
    <col min="14" max="16384" width="8.76171875" style="3"/>
  </cols>
  <sheetData>
    <row r="1" spans="1:13">
      <c r="A1" s="4" t="s">
        <v>0</v>
      </c>
      <c r="B1" s="8" t="s">
        <v>1</v>
      </c>
      <c r="C1" s="8" t="s">
        <v>2</v>
      </c>
      <c r="D1" s="7" t="s">
        <v>3</v>
      </c>
      <c r="E1" s="3" t="s">
        <v>4</v>
      </c>
      <c r="F1" s="5" t="s">
        <v>5</v>
      </c>
      <c r="G1" s="10" t="s">
        <v>6</v>
      </c>
      <c r="H1" s="10" t="s">
        <v>7</v>
      </c>
      <c r="I1" s="10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30.6">
      <c r="A2" s="4" t="s">
        <v>13</v>
      </c>
      <c r="B2" s="8" t="s">
        <v>14</v>
      </c>
      <c r="C2" s="8" t="s">
        <v>16</v>
      </c>
      <c r="D2" s="7" t="s">
        <v>17</v>
      </c>
      <c r="E2" s="3" t="s">
        <v>18</v>
      </c>
      <c r="F2" s="5">
        <v>28</v>
      </c>
      <c r="G2" s="9">
        <v>35.184177184960433</v>
      </c>
      <c r="H2" s="9">
        <v>0.71701742543991842</v>
      </c>
      <c r="I2" s="9">
        <v>65.559273185753369</v>
      </c>
      <c r="J2" s="3">
        <v>2019</v>
      </c>
      <c r="M2" s="7" t="s">
        <v>19</v>
      </c>
    </row>
    <row r="3" spans="1:13" ht="76.5">
      <c r="A3" s="4" t="s">
        <v>20</v>
      </c>
      <c r="B3" s="8" t="s">
        <v>14</v>
      </c>
      <c r="C3" s="8" t="s">
        <v>16</v>
      </c>
      <c r="D3" s="7" t="s">
        <v>21</v>
      </c>
      <c r="E3" s="3" t="s">
        <v>22</v>
      </c>
      <c r="F3" s="5">
        <v>46</v>
      </c>
      <c r="G3" s="9">
        <v>25.210148983317801</v>
      </c>
      <c r="H3" s="9">
        <v>-12.30000898400597</v>
      </c>
      <c r="I3" s="9">
        <v>104.8000792760636</v>
      </c>
      <c r="J3" s="3">
        <v>2017</v>
      </c>
      <c r="K3" s="3" t="s">
        <v>23</v>
      </c>
      <c r="L3" s="3" t="s">
        <v>24</v>
      </c>
    </row>
    <row r="4" spans="1:13">
      <c r="A4" s="4" t="s">
        <v>25</v>
      </c>
      <c r="B4" s="8" t="s">
        <v>14</v>
      </c>
      <c r="C4" s="8" t="s">
        <v>16</v>
      </c>
      <c r="D4" s="7" t="s">
        <v>27</v>
      </c>
      <c r="E4" s="3" t="s">
        <v>29</v>
      </c>
      <c r="F4" s="5">
        <v>876</v>
      </c>
      <c r="G4" s="9">
        <v>26.999281142812659</v>
      </c>
      <c r="H4" s="9">
        <v>-96.259999756505081</v>
      </c>
      <c r="I4" s="9">
        <v>144.3900000000001</v>
      </c>
      <c r="J4" s="3">
        <v>2022</v>
      </c>
      <c r="M4" s="7"/>
    </row>
    <row r="5" spans="1:13">
      <c r="A5" s="4" t="s">
        <v>30</v>
      </c>
      <c r="B5" s="8" t="s">
        <v>14</v>
      </c>
      <c r="C5" s="8" t="s">
        <v>16</v>
      </c>
      <c r="D5" s="7" t="s">
        <v>32</v>
      </c>
      <c r="E5" s="3" t="s">
        <v>34</v>
      </c>
      <c r="F5" s="5">
        <v>7</v>
      </c>
      <c r="G5" s="9">
        <v>48.774694392547651</v>
      </c>
      <c r="H5" s="9">
        <v>13.64001028517897</v>
      </c>
      <c r="I5" s="9">
        <v>96.17007262879649</v>
      </c>
      <c r="J5" s="3">
        <v>2017</v>
      </c>
      <c r="L5" s="3" t="s">
        <v>35</v>
      </c>
    </row>
    <row r="6" spans="1:13">
      <c r="A6" s="4" t="s">
        <v>36</v>
      </c>
      <c r="B6" s="8" t="s">
        <v>14</v>
      </c>
      <c r="C6" s="8" t="s">
        <v>16</v>
      </c>
      <c r="D6" s="7" t="s">
        <v>37</v>
      </c>
      <c r="E6" s="3" t="s">
        <v>34</v>
      </c>
      <c r="F6" s="5">
        <v>11</v>
      </c>
      <c r="G6" s="9">
        <v>23.00432525089537</v>
      </c>
      <c r="H6" s="9">
        <v>14.500010764359249</v>
      </c>
      <c r="I6" s="9">
        <v>31.300023846367448</v>
      </c>
      <c r="J6" s="3">
        <v>2015</v>
      </c>
      <c r="K6" s="3" t="s">
        <v>38</v>
      </c>
      <c r="L6" s="3" t="s">
        <v>39</v>
      </c>
    </row>
    <row r="7" spans="1:13">
      <c r="A7" s="4" t="s">
        <v>40</v>
      </c>
      <c r="B7" s="8" t="s">
        <v>14</v>
      </c>
      <c r="C7" s="8" t="s">
        <v>16</v>
      </c>
      <c r="D7" s="7" t="s">
        <v>41</v>
      </c>
      <c r="E7" s="3" t="s">
        <v>34</v>
      </c>
      <c r="F7" s="5">
        <v>27</v>
      </c>
      <c r="G7" s="9">
        <v>8.0624092052321217</v>
      </c>
      <c r="H7" s="9">
        <v>1.0100009713690581</v>
      </c>
      <c r="I7" s="9">
        <v>17.240013312576959</v>
      </c>
      <c r="J7" s="3">
        <v>2017</v>
      </c>
      <c r="L7" s="3" t="s">
        <v>40</v>
      </c>
    </row>
    <row r="8" spans="1:13">
      <c r="A8" s="4" t="s">
        <v>42</v>
      </c>
      <c r="B8" s="8" t="s">
        <v>14</v>
      </c>
      <c r="C8" s="8" t="s">
        <v>16</v>
      </c>
      <c r="D8" s="7" t="s">
        <v>43</v>
      </c>
      <c r="E8" s="3" t="s">
        <v>44</v>
      </c>
      <c r="F8" s="5">
        <v>14</v>
      </c>
      <c r="G8" s="9">
        <v>45.84951968915987</v>
      </c>
      <c r="H8" s="9">
        <v>33.712027192494013</v>
      </c>
      <c r="I8" s="9">
        <v>52.417049851099883</v>
      </c>
      <c r="J8" s="3">
        <v>2015</v>
      </c>
      <c r="K8" s="3" t="s">
        <v>45</v>
      </c>
      <c r="M8" s="7"/>
    </row>
    <row r="9" spans="1:13">
      <c r="A9" s="4" t="s">
        <v>46</v>
      </c>
      <c r="B9" s="8" t="s">
        <v>14</v>
      </c>
      <c r="C9" s="8" t="s">
        <v>16</v>
      </c>
      <c r="D9" s="7" t="s">
        <v>47</v>
      </c>
      <c r="E9" s="3" t="s">
        <v>49</v>
      </c>
      <c r="F9" s="5">
        <v>22</v>
      </c>
      <c r="G9" s="9">
        <v>29.221162519114429</v>
      </c>
      <c r="H9" s="9">
        <v>-2.39999971739726</v>
      </c>
      <c r="I9" s="9">
        <v>82.13999680695656</v>
      </c>
      <c r="J9" s="3">
        <v>2008</v>
      </c>
      <c r="K9" s="3" t="s">
        <v>50</v>
      </c>
      <c r="M9" s="7"/>
    </row>
    <row r="10" spans="1:13">
      <c r="A10" s="4" t="s">
        <v>51</v>
      </c>
      <c r="B10" s="8" t="s">
        <v>14</v>
      </c>
      <c r="C10" s="8" t="s">
        <v>16</v>
      </c>
      <c r="D10" s="7" t="s">
        <v>52</v>
      </c>
      <c r="E10" s="3" t="s">
        <v>53</v>
      </c>
      <c r="F10" s="5">
        <v>23</v>
      </c>
      <c r="G10" s="9">
        <v>36.573764915523043</v>
      </c>
      <c r="H10" s="9">
        <v>4.1000032038384804</v>
      </c>
      <c r="I10" s="9">
        <v>74.200056053218503</v>
      </c>
      <c r="J10" s="3">
        <v>2017</v>
      </c>
      <c r="L10" s="3" t="s">
        <v>54</v>
      </c>
    </row>
    <row r="11" spans="1:13" ht="30.6">
      <c r="A11" s="4" t="s">
        <v>55</v>
      </c>
      <c r="B11" s="8" t="s">
        <v>14</v>
      </c>
      <c r="C11" s="8" t="s">
        <v>16</v>
      </c>
      <c r="D11" s="7" t="s">
        <v>56</v>
      </c>
      <c r="E11" s="3" t="s">
        <v>57</v>
      </c>
      <c r="F11" s="5">
        <v>35</v>
      </c>
      <c r="G11" s="9">
        <v>32.856937285002992</v>
      </c>
      <c r="H11" s="9">
        <v>-0.95864622352146212</v>
      </c>
      <c r="I11" s="9">
        <v>76.69131949350411</v>
      </c>
      <c r="J11" s="3">
        <v>2018</v>
      </c>
      <c r="M11" s="7"/>
    </row>
    <row r="12" spans="1:13" ht="30.6">
      <c r="A12" s="4" t="s">
        <v>58</v>
      </c>
      <c r="B12" s="8" t="s">
        <v>14</v>
      </c>
      <c r="C12" s="8" t="s">
        <v>16</v>
      </c>
      <c r="D12" s="7" t="s">
        <v>59</v>
      </c>
      <c r="E12" s="3" t="s">
        <v>60</v>
      </c>
      <c r="F12" s="5">
        <v>9</v>
      </c>
      <c r="G12" s="9">
        <v>38.869411883313077</v>
      </c>
      <c r="H12" s="9">
        <v>16.60001263492633</v>
      </c>
      <c r="I12" s="9">
        <v>59.300045022204984</v>
      </c>
      <c r="J12" s="3">
        <v>2012</v>
      </c>
      <c r="K12" s="3" t="s">
        <v>61</v>
      </c>
      <c r="L12" s="3" t="s">
        <v>61</v>
      </c>
    </row>
    <row r="13" spans="1:13" ht="30.6">
      <c r="A13" s="4" t="s">
        <v>62</v>
      </c>
      <c r="B13" s="8" t="s">
        <v>14</v>
      </c>
      <c r="C13" s="8" t="s">
        <v>16</v>
      </c>
      <c r="D13" s="7" t="s">
        <v>63</v>
      </c>
      <c r="E13" s="3" t="s">
        <v>64</v>
      </c>
      <c r="F13" s="5">
        <v>26</v>
      </c>
      <c r="G13" s="9">
        <v>36.113470459039519</v>
      </c>
      <c r="H13" s="9">
        <v>-6.3814532038868519</v>
      </c>
      <c r="I13" s="9">
        <v>70.100379781816002</v>
      </c>
      <c r="J13" s="3">
        <v>2012</v>
      </c>
      <c r="K13" s="3" t="s">
        <v>65</v>
      </c>
      <c r="L13" s="3" t="s">
        <v>66</v>
      </c>
    </row>
    <row r="14" spans="1:13" ht="30.6">
      <c r="A14" s="4" t="s">
        <v>67</v>
      </c>
      <c r="B14" s="8" t="s">
        <v>68</v>
      </c>
      <c r="C14" s="8" t="s">
        <v>69</v>
      </c>
      <c r="D14" s="7" t="s">
        <v>70</v>
      </c>
      <c r="E14" s="3" t="s">
        <v>71</v>
      </c>
      <c r="F14" s="5">
        <v>190</v>
      </c>
      <c r="G14" s="9">
        <v>0.1214406791283755</v>
      </c>
      <c r="H14" s="9">
        <v>-0.4447410646452844</v>
      </c>
      <c r="I14" s="9">
        <v>0.33424982396227371</v>
      </c>
      <c r="J14" s="3">
        <v>2018</v>
      </c>
    </row>
    <row r="15" spans="1:13" ht="30.6">
      <c r="A15" s="4" t="s">
        <v>72</v>
      </c>
      <c r="B15" s="8" t="s">
        <v>68</v>
      </c>
      <c r="C15" s="8" t="s">
        <v>69</v>
      </c>
      <c r="D15" s="7" t="s">
        <v>73</v>
      </c>
      <c r="E15" s="3" t="s">
        <v>74</v>
      </c>
      <c r="F15" s="5">
        <v>128</v>
      </c>
      <c r="G15" s="9">
        <v>0.47250047597286199</v>
      </c>
      <c r="H15" s="9">
        <v>8.230979020297613E-2</v>
      </c>
      <c r="I15" s="9">
        <v>1.0795911445328381</v>
      </c>
      <c r="J15" s="3">
        <v>2023</v>
      </c>
    </row>
    <row r="16" spans="1:13" ht="30.6">
      <c r="A16" s="4" t="s">
        <v>75</v>
      </c>
      <c r="B16" s="8" t="s">
        <v>68</v>
      </c>
      <c r="C16" s="8" t="s">
        <v>69</v>
      </c>
      <c r="D16" s="7" t="s">
        <v>76</v>
      </c>
      <c r="E16" s="3" t="s">
        <v>77</v>
      </c>
      <c r="F16" s="5">
        <v>136</v>
      </c>
      <c r="G16" s="9">
        <v>18.023225660178419</v>
      </c>
      <c r="H16" s="9">
        <v>-77.516510767139323</v>
      </c>
      <c r="I16" s="9">
        <v>18.87819833069063</v>
      </c>
      <c r="J16" s="3">
        <v>2023</v>
      </c>
    </row>
    <row r="17" spans="1:13" ht="30.6">
      <c r="A17" s="4" t="s">
        <v>78</v>
      </c>
      <c r="B17" s="8" t="s">
        <v>68</v>
      </c>
      <c r="C17" s="8" t="s">
        <v>69</v>
      </c>
      <c r="D17" s="7" t="s">
        <v>79</v>
      </c>
      <c r="E17" s="3" t="s">
        <v>71</v>
      </c>
      <c r="F17" s="5">
        <v>296</v>
      </c>
      <c r="G17" s="9">
        <v>1.635569392557821</v>
      </c>
      <c r="H17" s="9">
        <v>1.6133992981475651E-2</v>
      </c>
      <c r="I17" s="9">
        <v>4.5302218167255939</v>
      </c>
      <c r="J17" s="3">
        <v>2018</v>
      </c>
    </row>
    <row r="18" spans="1:13" ht="30.6">
      <c r="A18" s="4" t="s">
        <v>80</v>
      </c>
      <c r="B18" s="8" t="s">
        <v>68</v>
      </c>
      <c r="C18" s="8" t="s">
        <v>69</v>
      </c>
      <c r="D18" s="7" t="s">
        <v>81</v>
      </c>
      <c r="E18" s="3" t="s">
        <v>82</v>
      </c>
      <c r="F18" s="5">
        <v>421</v>
      </c>
      <c r="G18" s="9">
        <v>0.69000733808351256</v>
      </c>
      <c r="H18" s="9">
        <v>0.14537323732705801</v>
      </c>
      <c r="I18" s="9">
        <v>1.8484992109112</v>
      </c>
      <c r="J18" s="3">
        <v>2023</v>
      </c>
    </row>
    <row r="19" spans="1:13" ht="45.9">
      <c r="A19" s="4" t="s">
        <v>83</v>
      </c>
      <c r="B19" s="8" t="s">
        <v>884</v>
      </c>
      <c r="C19" s="8" t="s">
        <v>84</v>
      </c>
      <c r="D19" s="7" t="s">
        <v>85</v>
      </c>
      <c r="E19" s="3" t="s">
        <v>86</v>
      </c>
      <c r="F19" s="5">
        <v>275</v>
      </c>
      <c r="G19" s="13">
        <v>6.0048403208653469E-4</v>
      </c>
      <c r="H19" s="13">
        <v>6.998362160401556E-6</v>
      </c>
      <c r="I19" s="13">
        <v>1.44233052612691E-3</v>
      </c>
      <c r="J19" s="3">
        <v>2022</v>
      </c>
    </row>
    <row r="20" spans="1:13">
      <c r="A20" s="4" t="s">
        <v>93</v>
      </c>
      <c r="B20" s="8" t="s">
        <v>885</v>
      </c>
      <c r="C20" s="8" t="s">
        <v>886</v>
      </c>
      <c r="D20" s="7" t="s">
        <v>94</v>
      </c>
      <c r="E20" s="3" t="s">
        <v>95</v>
      </c>
      <c r="F20" s="5">
        <v>15</v>
      </c>
      <c r="G20" s="9">
        <v>2.23280707213216</v>
      </c>
      <c r="H20" s="9">
        <v>0.59500071824684764</v>
      </c>
      <c r="I20" s="9">
        <v>4.9250037145935917</v>
      </c>
      <c r="J20" s="3">
        <v>2009</v>
      </c>
      <c r="K20" s="3" t="s">
        <v>93</v>
      </c>
      <c r="L20" s="3" t="s">
        <v>93</v>
      </c>
    </row>
    <row r="21" spans="1:13">
      <c r="A21" s="4" t="s">
        <v>100</v>
      </c>
      <c r="B21" s="8" t="s">
        <v>885</v>
      </c>
      <c r="C21" s="8" t="s">
        <v>886</v>
      </c>
      <c r="D21" s="7" t="s">
        <v>101</v>
      </c>
      <c r="E21" s="3" t="s">
        <v>102</v>
      </c>
      <c r="F21" s="5">
        <v>80</v>
      </c>
      <c r="G21" s="9">
        <v>2.9797500681085198</v>
      </c>
      <c r="H21" s="9">
        <v>5.7981875403144E-2</v>
      </c>
      <c r="I21" s="9">
        <v>7.3700052739230646</v>
      </c>
      <c r="J21" s="3">
        <v>2016</v>
      </c>
      <c r="K21" s="3" t="s">
        <v>103</v>
      </c>
      <c r="L21" s="3" t="s">
        <v>104</v>
      </c>
    </row>
    <row r="22" spans="1:13">
      <c r="A22" s="4" t="s">
        <v>105</v>
      </c>
      <c r="B22" s="8" t="s">
        <v>885</v>
      </c>
      <c r="C22" s="8" t="s">
        <v>886</v>
      </c>
      <c r="D22" s="7" t="s">
        <v>106</v>
      </c>
      <c r="E22" s="3" t="s">
        <v>60</v>
      </c>
      <c r="F22" s="5">
        <v>64</v>
      </c>
      <c r="G22" s="9">
        <v>2.9112706973327311</v>
      </c>
      <c r="H22" s="9">
        <v>0.1499998646793024</v>
      </c>
      <c r="I22" s="9">
        <v>4.7000032900651636</v>
      </c>
      <c r="J22" s="3">
        <v>2017</v>
      </c>
      <c r="K22" s="3" t="s">
        <v>107</v>
      </c>
      <c r="L22" s="3" t="s">
        <v>105</v>
      </c>
    </row>
    <row r="23" spans="1:13" ht="30.6">
      <c r="A23" s="4" t="s">
        <v>132</v>
      </c>
      <c r="B23" s="8" t="s">
        <v>885</v>
      </c>
      <c r="C23" s="8" t="s">
        <v>886</v>
      </c>
      <c r="D23" s="7" t="s">
        <v>133</v>
      </c>
      <c r="E23" s="3" t="s">
        <v>60</v>
      </c>
      <c r="F23" s="5">
        <v>17</v>
      </c>
      <c r="G23" s="9">
        <v>4.5405546644999104</v>
      </c>
      <c r="H23" s="9">
        <v>9.9999909786201602E-2</v>
      </c>
      <c r="I23" s="9">
        <v>12.160009110305291</v>
      </c>
      <c r="J23" s="3">
        <v>2017</v>
      </c>
      <c r="L23" s="3" t="s">
        <v>132</v>
      </c>
    </row>
    <row r="24" spans="1:13">
      <c r="A24" s="4" t="s">
        <v>134</v>
      </c>
      <c r="B24" s="8" t="s">
        <v>885</v>
      </c>
      <c r="C24" s="8" t="s">
        <v>886</v>
      </c>
      <c r="D24" s="7" t="s">
        <v>135</v>
      </c>
      <c r="E24" s="3" t="s">
        <v>136</v>
      </c>
      <c r="F24" s="5">
        <v>6</v>
      </c>
      <c r="G24" s="9">
        <v>25.228198346573041</v>
      </c>
      <c r="H24" s="9">
        <v>-60.280045393128702</v>
      </c>
      <c r="I24" s="9">
        <v>9.1000068507717238</v>
      </c>
      <c r="J24" s="3">
        <v>2017</v>
      </c>
      <c r="L24" s="3" t="s">
        <v>134</v>
      </c>
    </row>
    <row r="25" spans="1:13">
      <c r="A25" s="4" t="s">
        <v>147</v>
      </c>
      <c r="B25" s="8" t="s">
        <v>885</v>
      </c>
      <c r="C25" s="8" t="s">
        <v>886</v>
      </c>
      <c r="D25" s="7" t="s">
        <v>148</v>
      </c>
      <c r="E25" s="3" t="s">
        <v>149</v>
      </c>
      <c r="F25" s="5">
        <v>51</v>
      </c>
      <c r="G25" s="9">
        <v>5.3552265665440082</v>
      </c>
      <c r="H25" s="9">
        <v>0.39000027567566031</v>
      </c>
      <c r="I25" s="9">
        <v>8.7500065390105437</v>
      </c>
      <c r="J25" s="3">
        <v>2017</v>
      </c>
      <c r="K25" s="3" t="s">
        <v>150</v>
      </c>
      <c r="L25" s="3" t="s">
        <v>147</v>
      </c>
    </row>
    <row r="26" spans="1:13" ht="30.6">
      <c r="A26" s="4" t="s">
        <v>154</v>
      </c>
      <c r="B26" s="8" t="s">
        <v>885</v>
      </c>
      <c r="C26" s="8" t="s">
        <v>886</v>
      </c>
      <c r="D26" s="7" t="s">
        <v>155</v>
      </c>
      <c r="E26" s="3" t="s">
        <v>149</v>
      </c>
      <c r="F26" s="5">
        <v>18</v>
      </c>
      <c r="G26" s="9">
        <v>1.7885714993093449</v>
      </c>
      <c r="H26" s="9">
        <v>2.0017552222514001E-2</v>
      </c>
      <c r="I26" s="9">
        <v>2.8000018665799629</v>
      </c>
      <c r="J26" s="3">
        <v>2017</v>
      </c>
      <c r="L26" s="3" t="s">
        <v>156</v>
      </c>
      <c r="M26" s="3" t="s">
        <v>157</v>
      </c>
    </row>
    <row r="27" spans="1:13" ht="30.6">
      <c r="A27" s="4" t="s">
        <v>158</v>
      </c>
      <c r="B27" s="8" t="s">
        <v>885</v>
      </c>
      <c r="C27" s="8" t="s">
        <v>886</v>
      </c>
      <c r="D27" s="7" t="s">
        <v>159</v>
      </c>
      <c r="E27" s="3" t="s">
        <v>160</v>
      </c>
      <c r="F27" s="5">
        <v>13</v>
      </c>
      <c r="G27" s="9">
        <v>6.7502929281412714</v>
      </c>
      <c r="H27" s="9">
        <v>0.59800000017963328</v>
      </c>
      <c r="I27" s="9">
        <v>16.556999999909412</v>
      </c>
      <c r="J27" s="8">
        <v>2013</v>
      </c>
      <c r="K27" s="3" t="s">
        <v>161</v>
      </c>
      <c r="M27" s="7"/>
    </row>
    <row r="28" spans="1:13">
      <c r="A28" s="4" t="s">
        <v>166</v>
      </c>
      <c r="B28" s="8" t="s">
        <v>885</v>
      </c>
      <c r="C28" s="8" t="s">
        <v>886</v>
      </c>
      <c r="D28" s="7" t="s">
        <v>167</v>
      </c>
      <c r="E28" s="3" t="s">
        <v>136</v>
      </c>
      <c r="F28" s="5">
        <v>17</v>
      </c>
      <c r="G28" s="9">
        <v>4.9634999128601498</v>
      </c>
      <c r="H28" s="9">
        <v>0.20000044708187731</v>
      </c>
      <c r="I28" s="9">
        <v>6.3100049751703802</v>
      </c>
      <c r="J28" s="3">
        <v>2017</v>
      </c>
      <c r="L28" s="3" t="s">
        <v>166</v>
      </c>
    </row>
    <row r="29" spans="1:13">
      <c r="A29" s="4" t="s">
        <v>178</v>
      </c>
      <c r="B29" s="8" t="s">
        <v>885</v>
      </c>
      <c r="C29" s="8" t="s">
        <v>886</v>
      </c>
      <c r="D29" s="7" t="s">
        <v>179</v>
      </c>
      <c r="E29" s="3" t="s">
        <v>114</v>
      </c>
      <c r="F29" s="5">
        <v>23</v>
      </c>
      <c r="G29" s="9">
        <v>6.515185863864132</v>
      </c>
      <c r="H29" s="9">
        <v>0.57000074080029728</v>
      </c>
      <c r="I29" s="9">
        <v>14.41001084555166</v>
      </c>
      <c r="J29" s="3">
        <v>2017</v>
      </c>
      <c r="L29" s="3" t="s">
        <v>178</v>
      </c>
    </row>
    <row r="30" spans="1:13" ht="30.6">
      <c r="A30" s="4" t="s">
        <v>96</v>
      </c>
      <c r="B30" s="8" t="s">
        <v>883</v>
      </c>
      <c r="C30" s="8" t="s">
        <v>89</v>
      </c>
      <c r="D30" s="7" t="s">
        <v>97</v>
      </c>
      <c r="E30" s="3" t="s">
        <v>98</v>
      </c>
      <c r="F30" s="5">
        <v>11</v>
      </c>
      <c r="G30" s="9">
        <v>1.8097136896757391</v>
      </c>
      <c r="H30" s="9">
        <v>-3.6949998474456729</v>
      </c>
      <c r="I30" s="9">
        <v>-0.2259999906447526</v>
      </c>
      <c r="J30" s="3">
        <v>2009</v>
      </c>
      <c r="K30" s="3" t="s">
        <v>99</v>
      </c>
    </row>
    <row r="31" spans="1:13">
      <c r="A31" s="17" t="s">
        <v>108</v>
      </c>
      <c r="B31" s="8" t="s">
        <v>883</v>
      </c>
      <c r="C31" s="8" t="s">
        <v>89</v>
      </c>
      <c r="D31" s="7" t="s">
        <v>109</v>
      </c>
      <c r="E31" s="3" t="s">
        <v>110</v>
      </c>
      <c r="F31" s="5">
        <v>6</v>
      </c>
      <c r="G31" s="9">
        <v>41.544779543619022</v>
      </c>
      <c r="H31" s="9">
        <v>-5.839999751589966</v>
      </c>
      <c r="I31" s="9">
        <v>84.640000199196876</v>
      </c>
      <c r="J31" s="3">
        <v>2016</v>
      </c>
      <c r="K31" s="3" t="s">
        <v>111</v>
      </c>
      <c r="M31" s="7"/>
    </row>
    <row r="32" spans="1:13">
      <c r="A32" s="4" t="s">
        <v>112</v>
      </c>
      <c r="B32" s="8" t="s">
        <v>883</v>
      </c>
      <c r="C32" s="8" t="s">
        <v>89</v>
      </c>
      <c r="D32" s="7" t="s">
        <v>113</v>
      </c>
      <c r="E32" s="3" t="s">
        <v>114</v>
      </c>
      <c r="F32" s="5">
        <v>7</v>
      </c>
      <c r="G32" s="9">
        <v>105.80104788894231</v>
      </c>
      <c r="H32" s="9">
        <v>37.400028383477327</v>
      </c>
      <c r="I32" s="9">
        <v>164.8801248496199</v>
      </c>
      <c r="J32" s="3">
        <v>2017</v>
      </c>
      <c r="L32" s="3" t="s">
        <v>115</v>
      </c>
    </row>
    <row r="33" spans="1:13" ht="30.6">
      <c r="A33" s="4" t="s">
        <v>116</v>
      </c>
      <c r="B33" s="8" t="s">
        <v>883</v>
      </c>
      <c r="C33" s="8" t="s">
        <v>89</v>
      </c>
      <c r="D33" s="7" t="s">
        <v>117</v>
      </c>
      <c r="E33" s="3" t="s">
        <v>118</v>
      </c>
      <c r="F33" s="5">
        <v>60</v>
      </c>
      <c r="G33" s="9">
        <v>5.0587619507856543</v>
      </c>
      <c r="H33" s="9">
        <v>-6.1424471651109016</v>
      </c>
      <c r="I33" s="9">
        <v>8.6042061453168319</v>
      </c>
      <c r="J33" s="3">
        <v>2014</v>
      </c>
      <c r="K33" s="3" t="s">
        <v>116</v>
      </c>
      <c r="L33" s="3" t="s">
        <v>119</v>
      </c>
    </row>
    <row r="34" spans="1:13">
      <c r="A34" s="4" t="s">
        <v>120</v>
      </c>
      <c r="B34" s="8" t="s">
        <v>883</v>
      </c>
      <c r="C34" s="8" t="s">
        <v>89</v>
      </c>
      <c r="D34" s="7" t="s">
        <v>121</v>
      </c>
      <c r="E34" s="3" t="s">
        <v>60</v>
      </c>
      <c r="F34" s="5">
        <v>22</v>
      </c>
      <c r="G34" s="9">
        <v>4.9698355450325584</v>
      </c>
      <c r="H34" s="9">
        <v>-2.7485658518629101</v>
      </c>
      <c r="I34" s="9">
        <v>9.2256210333840301</v>
      </c>
      <c r="J34" s="3">
        <v>2015</v>
      </c>
      <c r="K34" s="3" t="s">
        <v>122</v>
      </c>
      <c r="M34" s="7"/>
    </row>
    <row r="35" spans="1:13" ht="30.6">
      <c r="A35" s="4" t="s">
        <v>137</v>
      </c>
      <c r="B35" s="8" t="s">
        <v>883</v>
      </c>
      <c r="C35" s="8" t="s">
        <v>89</v>
      </c>
      <c r="D35" s="7" t="s">
        <v>138</v>
      </c>
      <c r="E35" s="3" t="s">
        <v>60</v>
      </c>
      <c r="F35" s="5">
        <v>34</v>
      </c>
      <c r="G35" s="9">
        <v>20.29678517331303</v>
      </c>
      <c r="H35" s="9">
        <v>1.060000926262159</v>
      </c>
      <c r="I35" s="9">
        <v>66.06005021892274</v>
      </c>
      <c r="J35" s="3">
        <v>2017</v>
      </c>
      <c r="L35" s="3" t="s">
        <v>137</v>
      </c>
    </row>
    <row r="36" spans="1:13">
      <c r="A36" s="4" t="s">
        <v>139</v>
      </c>
      <c r="B36" s="8" t="s">
        <v>883</v>
      </c>
      <c r="C36" s="8" t="s">
        <v>89</v>
      </c>
      <c r="D36" s="7" t="s">
        <v>140</v>
      </c>
      <c r="E36" s="3" t="s">
        <v>141</v>
      </c>
      <c r="F36" s="5">
        <v>23</v>
      </c>
      <c r="G36" s="9">
        <v>28.026000808861451</v>
      </c>
      <c r="H36" s="9">
        <v>0.13999987370068229</v>
      </c>
      <c r="I36" s="9">
        <v>71.010053910962881</v>
      </c>
      <c r="J36" s="3">
        <v>2023</v>
      </c>
      <c r="L36" s="3" t="s">
        <v>142</v>
      </c>
      <c r="M36" s="3" t="s">
        <v>143</v>
      </c>
    </row>
    <row r="37" spans="1:13">
      <c r="A37" s="4" t="s">
        <v>144</v>
      </c>
      <c r="B37" s="8" t="s">
        <v>883</v>
      </c>
      <c r="C37" s="8" t="s">
        <v>89</v>
      </c>
      <c r="D37" s="7" t="s">
        <v>145</v>
      </c>
      <c r="E37" s="3" t="s">
        <v>146</v>
      </c>
      <c r="F37" s="5">
        <v>20</v>
      </c>
      <c r="G37" s="9">
        <v>44.047924315255763</v>
      </c>
      <c r="H37" s="9">
        <v>-91.869996186777144</v>
      </c>
      <c r="I37" s="9">
        <v>-0.2099998105510234</v>
      </c>
      <c r="J37" s="3">
        <v>2011</v>
      </c>
      <c r="K37" s="3" t="s">
        <v>144</v>
      </c>
    </row>
    <row r="38" spans="1:13">
      <c r="A38" s="4" t="s">
        <v>151</v>
      </c>
      <c r="B38" s="8" t="s">
        <v>883</v>
      </c>
      <c r="C38" s="8" t="s">
        <v>89</v>
      </c>
      <c r="D38" s="7" t="s">
        <v>152</v>
      </c>
      <c r="E38" s="3" t="s">
        <v>153</v>
      </c>
      <c r="F38" s="5">
        <v>20</v>
      </c>
      <c r="G38" s="9">
        <v>6.2348835965297988</v>
      </c>
      <c r="H38" s="9">
        <v>0.60000071373615771</v>
      </c>
      <c r="I38" s="9">
        <v>17.880013362718131</v>
      </c>
      <c r="J38" s="3">
        <v>2017</v>
      </c>
      <c r="L38" s="3" t="s">
        <v>151</v>
      </c>
    </row>
    <row r="39" spans="1:13">
      <c r="A39" s="4" t="s">
        <v>168</v>
      </c>
      <c r="B39" s="8" t="s">
        <v>883</v>
      </c>
      <c r="C39" s="8" t="s">
        <v>89</v>
      </c>
      <c r="D39" s="7" t="s">
        <v>169</v>
      </c>
      <c r="E39" s="3" t="s">
        <v>60</v>
      </c>
      <c r="F39" s="5">
        <v>42</v>
      </c>
      <c r="G39" s="9">
        <v>67.57681840437013</v>
      </c>
      <c r="H39" s="9">
        <v>11.51999964752201</v>
      </c>
      <c r="I39" s="9">
        <v>124.4599950240266</v>
      </c>
      <c r="J39" s="3">
        <v>2012</v>
      </c>
      <c r="K39" s="3" t="s">
        <v>170</v>
      </c>
      <c r="M39" s="7"/>
    </row>
    <row r="40" spans="1:13">
      <c r="A40" s="4" t="s">
        <v>175</v>
      </c>
      <c r="B40" s="8" t="s">
        <v>883</v>
      </c>
      <c r="C40" s="8" t="s">
        <v>89</v>
      </c>
      <c r="D40" s="7" t="s">
        <v>176</v>
      </c>
      <c r="E40" s="3" t="s">
        <v>177</v>
      </c>
      <c r="F40" s="5">
        <v>15</v>
      </c>
      <c r="G40" s="9">
        <v>4.523378919054049</v>
      </c>
      <c r="H40" s="9">
        <v>-5.4400038775020034</v>
      </c>
      <c r="I40" s="9">
        <v>13.03000958046419</v>
      </c>
      <c r="J40" s="3">
        <v>2017</v>
      </c>
      <c r="L40" s="3" t="s">
        <v>175</v>
      </c>
    </row>
    <row r="41" spans="1:13" ht="30.6">
      <c r="A41" s="4" t="s">
        <v>180</v>
      </c>
      <c r="B41" s="8" t="s">
        <v>181</v>
      </c>
      <c r="C41" s="8" t="s">
        <v>182</v>
      </c>
      <c r="D41" s="7" t="s">
        <v>183</v>
      </c>
      <c r="E41" s="3" t="s">
        <v>184</v>
      </c>
      <c r="F41" s="5">
        <v>69</v>
      </c>
      <c r="G41" s="9">
        <v>0.68684133087948052</v>
      </c>
      <c r="H41" s="9">
        <v>-2.4159999539668431</v>
      </c>
      <c r="I41" s="9">
        <v>1.694000103302888</v>
      </c>
      <c r="J41" s="3">
        <v>2015</v>
      </c>
      <c r="K41" s="3" t="s">
        <v>185</v>
      </c>
    </row>
    <row r="42" spans="1:13" ht="30.6">
      <c r="A42" s="4" t="s">
        <v>186</v>
      </c>
      <c r="B42" s="8" t="s">
        <v>181</v>
      </c>
      <c r="C42" s="8" t="s">
        <v>182</v>
      </c>
      <c r="D42" s="7" t="s">
        <v>187</v>
      </c>
      <c r="E42" s="3" t="s">
        <v>188</v>
      </c>
      <c r="F42" s="5">
        <v>20</v>
      </c>
      <c r="G42" s="9">
        <v>2.005148893705329</v>
      </c>
      <c r="H42" s="9">
        <v>-4.6229997199748398</v>
      </c>
      <c r="I42" s="9">
        <v>4.15199989387804</v>
      </c>
      <c r="J42" s="3">
        <v>2023</v>
      </c>
    </row>
    <row r="43" spans="1:13" ht="30.6">
      <c r="A43" s="4" t="s">
        <v>87</v>
      </c>
      <c r="B43" s="8" t="s">
        <v>181</v>
      </c>
      <c r="C43" s="8" t="s">
        <v>182</v>
      </c>
      <c r="D43" s="7" t="s">
        <v>90</v>
      </c>
      <c r="E43" s="3" t="s">
        <v>91</v>
      </c>
      <c r="F43" s="5">
        <v>114</v>
      </c>
      <c r="G43" s="9">
        <v>1.6487916706241801</v>
      </c>
      <c r="H43" s="9">
        <v>7.6000182441302841E-2</v>
      </c>
      <c r="I43" s="9">
        <v>5.9759998799029903</v>
      </c>
      <c r="J43" s="3">
        <v>2015</v>
      </c>
      <c r="K43" s="3" t="s">
        <v>92</v>
      </c>
    </row>
    <row r="44" spans="1:13" ht="30.6">
      <c r="A44" s="4" t="s">
        <v>189</v>
      </c>
      <c r="B44" s="8" t="s">
        <v>181</v>
      </c>
      <c r="C44" s="8" t="s">
        <v>182</v>
      </c>
      <c r="D44" s="7" t="s">
        <v>190</v>
      </c>
      <c r="E44" s="3" t="s">
        <v>191</v>
      </c>
      <c r="F44" s="5">
        <v>24</v>
      </c>
      <c r="G44" s="9">
        <v>2.6505928738728208</v>
      </c>
      <c r="H44" s="9">
        <v>-6.5549997340707824</v>
      </c>
      <c r="I44" s="9">
        <v>1.0959998897700329</v>
      </c>
      <c r="J44" s="8">
        <v>2015</v>
      </c>
      <c r="K44" s="3" t="s">
        <v>189</v>
      </c>
    </row>
    <row r="45" spans="1:13">
      <c r="A45" s="4" t="s">
        <v>192</v>
      </c>
      <c r="B45" s="8" t="s">
        <v>181</v>
      </c>
      <c r="C45" s="8" t="s">
        <v>182</v>
      </c>
      <c r="D45" s="7" t="s">
        <v>193</v>
      </c>
      <c r="E45" s="3" t="s">
        <v>60</v>
      </c>
      <c r="F45" s="5">
        <v>6</v>
      </c>
      <c r="G45" s="9">
        <v>3.6596635646428148</v>
      </c>
      <c r="H45" s="9">
        <v>1.3400013011729981</v>
      </c>
      <c r="I45" s="9">
        <v>5.5500044057763001</v>
      </c>
      <c r="J45" s="3">
        <v>2017</v>
      </c>
      <c r="L45" s="3" t="s">
        <v>192</v>
      </c>
    </row>
    <row r="46" spans="1:13">
      <c r="A46" s="4" t="s">
        <v>194</v>
      </c>
      <c r="B46" s="8" t="s">
        <v>181</v>
      </c>
      <c r="C46" s="8" t="s">
        <v>182</v>
      </c>
      <c r="D46" s="7" t="s">
        <v>195</v>
      </c>
      <c r="E46" s="3" t="s">
        <v>196</v>
      </c>
      <c r="F46" s="5">
        <v>21</v>
      </c>
      <c r="G46" s="9">
        <v>26.17485691145442</v>
      </c>
      <c r="H46" s="9">
        <v>-65.680049306716214</v>
      </c>
      <c r="I46" s="9">
        <v>-7.9700059876592233</v>
      </c>
      <c r="J46" s="3">
        <v>2015</v>
      </c>
      <c r="K46" s="3" t="s">
        <v>197</v>
      </c>
      <c r="L46" s="3" t="s">
        <v>194</v>
      </c>
    </row>
    <row r="47" spans="1:13" ht="30.6">
      <c r="A47" s="4" t="s">
        <v>198</v>
      </c>
      <c r="B47" s="8" t="s">
        <v>181</v>
      </c>
      <c r="C47" s="8" t="s">
        <v>182</v>
      </c>
      <c r="D47" s="7" t="s">
        <v>199</v>
      </c>
      <c r="E47" s="3" t="s">
        <v>200</v>
      </c>
      <c r="F47" s="5">
        <v>30</v>
      </c>
      <c r="G47" s="9">
        <v>23.649073563871781</v>
      </c>
      <c r="H47" s="9">
        <v>-46.419998081303071</v>
      </c>
      <c r="I47" s="9">
        <v>-1.4199999413525179</v>
      </c>
      <c r="J47" s="3">
        <v>2014</v>
      </c>
      <c r="K47" s="3" t="s">
        <v>201</v>
      </c>
      <c r="M47" s="7"/>
    </row>
    <row r="48" spans="1:13" ht="30.6">
      <c r="A48" s="4" t="s">
        <v>202</v>
      </c>
      <c r="B48" s="8" t="s">
        <v>181</v>
      </c>
      <c r="C48" s="8" t="s">
        <v>182</v>
      </c>
      <c r="D48" s="7" t="s">
        <v>203</v>
      </c>
      <c r="E48" s="3" t="s">
        <v>173</v>
      </c>
      <c r="F48" s="5">
        <v>215</v>
      </c>
      <c r="G48" s="9">
        <v>1.8097302023443951</v>
      </c>
      <c r="H48" s="9">
        <v>-4.1980998265615908</v>
      </c>
      <c r="I48" s="9">
        <v>4.0090998345407156</v>
      </c>
      <c r="J48" s="3">
        <v>2009</v>
      </c>
      <c r="K48" s="3" t="s">
        <v>202</v>
      </c>
    </row>
    <row r="49" spans="1:13" ht="30.6">
      <c r="A49" s="4" t="s">
        <v>204</v>
      </c>
      <c r="B49" s="8" t="s">
        <v>181</v>
      </c>
      <c r="C49" s="8" t="s">
        <v>182</v>
      </c>
      <c r="D49" s="7" t="s">
        <v>205</v>
      </c>
      <c r="E49" s="3" t="s">
        <v>22</v>
      </c>
      <c r="F49" s="5">
        <v>8</v>
      </c>
      <c r="G49" s="9">
        <v>7.465409532583017</v>
      </c>
      <c r="H49" s="9">
        <v>1.205000795452152</v>
      </c>
      <c r="I49" s="9">
        <v>16.296012532670591</v>
      </c>
      <c r="J49" s="3">
        <v>2017</v>
      </c>
      <c r="L49" s="3" t="s">
        <v>206</v>
      </c>
    </row>
    <row r="50" spans="1:13">
      <c r="A50" s="4" t="s">
        <v>207</v>
      </c>
      <c r="B50" s="8" t="s">
        <v>181</v>
      </c>
      <c r="C50" s="8" t="s">
        <v>182</v>
      </c>
      <c r="D50" s="7" t="s">
        <v>208</v>
      </c>
      <c r="E50" s="3" t="s">
        <v>196</v>
      </c>
      <c r="F50" s="5">
        <v>6</v>
      </c>
      <c r="G50" s="9">
        <v>27.84524118012687</v>
      </c>
      <c r="H50" s="9">
        <v>-39.09002936890203</v>
      </c>
      <c r="I50" s="9">
        <v>-17.830013407825032</v>
      </c>
      <c r="J50" s="3">
        <v>2015</v>
      </c>
      <c r="K50" s="3" t="s">
        <v>197</v>
      </c>
      <c r="L50" s="3" t="s">
        <v>207</v>
      </c>
    </row>
    <row r="51" spans="1:13">
      <c r="A51" s="4" t="s">
        <v>209</v>
      </c>
      <c r="B51" s="8" t="s">
        <v>181</v>
      </c>
      <c r="C51" s="8" t="s">
        <v>182</v>
      </c>
      <c r="D51" s="7" t="s">
        <v>210</v>
      </c>
      <c r="E51" s="3" t="s">
        <v>211</v>
      </c>
      <c r="F51" s="5">
        <v>20</v>
      </c>
      <c r="G51" s="9">
        <v>1.073130888927099</v>
      </c>
      <c r="H51" s="9">
        <v>-1.829999924136269</v>
      </c>
      <c r="I51" s="9">
        <v>-0.31999998679250419</v>
      </c>
      <c r="J51" s="3">
        <v>2012</v>
      </c>
      <c r="K51" s="3" t="s">
        <v>212</v>
      </c>
      <c r="M51" s="7"/>
    </row>
    <row r="52" spans="1:13" ht="30.6">
      <c r="A52" s="4" t="s">
        <v>213</v>
      </c>
      <c r="B52" s="8" t="s">
        <v>181</v>
      </c>
      <c r="C52" s="8" t="s">
        <v>182</v>
      </c>
      <c r="D52" s="7" t="s">
        <v>214</v>
      </c>
      <c r="E52" s="3" t="s">
        <v>173</v>
      </c>
      <c r="F52" s="5">
        <v>14</v>
      </c>
      <c r="G52" s="9">
        <v>3.703638983828101</v>
      </c>
      <c r="H52" s="9">
        <v>-6.3299997381313249</v>
      </c>
      <c r="I52" s="9">
        <v>-0.84999996485876039</v>
      </c>
      <c r="J52" s="3">
        <v>2012</v>
      </c>
      <c r="K52" s="3" t="s">
        <v>213</v>
      </c>
    </row>
    <row r="53" spans="1:13">
      <c r="A53" s="4" t="s">
        <v>215</v>
      </c>
      <c r="B53" s="8" t="s">
        <v>181</v>
      </c>
      <c r="C53" s="8" t="s">
        <v>182</v>
      </c>
      <c r="D53" s="7" t="s">
        <v>216</v>
      </c>
      <c r="E53" s="3" t="s">
        <v>217</v>
      </c>
      <c r="F53" s="5">
        <v>10</v>
      </c>
      <c r="G53" s="9">
        <v>168.49623517541281</v>
      </c>
      <c r="H53" s="9">
        <v>-171.4199928202332</v>
      </c>
      <c r="I53" s="9">
        <v>-163.58999298136939</v>
      </c>
      <c r="J53" s="3">
        <v>2015</v>
      </c>
      <c r="K53" s="3" t="s">
        <v>218</v>
      </c>
    </row>
    <row r="54" spans="1:13" ht="30.6">
      <c r="A54" s="4" t="s">
        <v>123</v>
      </c>
      <c r="B54" s="8" t="s">
        <v>181</v>
      </c>
      <c r="C54" s="8" t="s">
        <v>182</v>
      </c>
      <c r="D54" s="7" t="s">
        <v>124</v>
      </c>
      <c r="E54" s="3" t="s">
        <v>125</v>
      </c>
      <c r="F54" s="5">
        <v>4</v>
      </c>
      <c r="G54" s="9">
        <v>0.44641644620438248</v>
      </c>
      <c r="H54" s="9">
        <v>0.2549997699548141</v>
      </c>
      <c r="I54" s="9">
        <v>0.54200001304879186</v>
      </c>
      <c r="J54" s="3">
        <v>2010</v>
      </c>
      <c r="K54" s="3" t="s">
        <v>126</v>
      </c>
      <c r="M54" s="7"/>
    </row>
    <row r="55" spans="1:13" ht="30.6">
      <c r="A55" s="4" t="s">
        <v>127</v>
      </c>
      <c r="B55" s="8" t="s">
        <v>181</v>
      </c>
      <c r="C55" s="8" t="s">
        <v>182</v>
      </c>
      <c r="D55" s="7" t="s">
        <v>128</v>
      </c>
      <c r="E55" s="3" t="s">
        <v>129</v>
      </c>
      <c r="F55" s="5">
        <v>9</v>
      </c>
      <c r="G55" s="9">
        <v>2.7589992509954668</v>
      </c>
      <c r="H55" s="9">
        <v>1.34000004615405</v>
      </c>
      <c r="I55" s="9">
        <v>3.9499995741023342</v>
      </c>
      <c r="J55" s="3">
        <v>2015</v>
      </c>
      <c r="K55" s="3" t="s">
        <v>130</v>
      </c>
      <c r="M55" s="3" t="s">
        <v>131</v>
      </c>
    </row>
    <row r="56" spans="1:13">
      <c r="A56" s="4" t="s">
        <v>223</v>
      </c>
      <c r="B56" s="8" t="s">
        <v>181</v>
      </c>
      <c r="C56" s="8" t="s">
        <v>182</v>
      </c>
      <c r="D56" s="7" t="s">
        <v>224</v>
      </c>
      <c r="E56" s="3" t="s">
        <v>225</v>
      </c>
      <c r="F56" s="5">
        <v>262</v>
      </c>
      <c r="G56" s="9">
        <v>7.1958883597690386</v>
      </c>
      <c r="H56" s="9">
        <v>-20.517999999999979</v>
      </c>
      <c r="I56" s="9">
        <v>-2.118000000000003</v>
      </c>
      <c r="J56" s="3">
        <v>2020</v>
      </c>
    </row>
    <row r="57" spans="1:13" ht="30.6">
      <c r="A57" s="4" t="s">
        <v>219</v>
      </c>
      <c r="B57" s="8" t="s">
        <v>181</v>
      </c>
      <c r="C57" s="8" t="s">
        <v>182</v>
      </c>
      <c r="D57" s="7" t="s">
        <v>220</v>
      </c>
      <c r="E57" s="3" t="s">
        <v>221</v>
      </c>
      <c r="F57" s="5">
        <v>49</v>
      </c>
      <c r="G57" s="9">
        <v>14.124519748875731</v>
      </c>
      <c r="H57" s="9">
        <v>-33.847990925257527</v>
      </c>
      <c r="I57" s="9">
        <v>-1.749522141567716</v>
      </c>
      <c r="J57" s="3">
        <v>2015</v>
      </c>
      <c r="K57" s="3" t="s">
        <v>222</v>
      </c>
    </row>
    <row r="58" spans="1:13" ht="30.6">
      <c r="A58" s="4" t="s">
        <v>226</v>
      </c>
      <c r="B58" s="8" t="s">
        <v>181</v>
      </c>
      <c r="C58" s="8" t="s">
        <v>182</v>
      </c>
      <c r="D58" s="7" t="s">
        <v>199</v>
      </c>
      <c r="E58" s="3" t="s">
        <v>125</v>
      </c>
      <c r="F58" s="5">
        <v>32</v>
      </c>
      <c r="G58" s="9">
        <v>4.393722468235068</v>
      </c>
      <c r="H58" s="9">
        <v>-8.2100001235608389</v>
      </c>
      <c r="I58" s="9">
        <v>-1.0199997073287299</v>
      </c>
      <c r="J58" s="3">
        <v>2017</v>
      </c>
      <c r="M58" s="7"/>
    </row>
    <row r="59" spans="1:13" ht="30.6">
      <c r="A59" s="4" t="s">
        <v>227</v>
      </c>
      <c r="B59" s="8" t="s">
        <v>181</v>
      </c>
      <c r="C59" s="8" t="s">
        <v>182</v>
      </c>
      <c r="D59" s="7" t="s">
        <v>228</v>
      </c>
      <c r="E59" s="3" t="s">
        <v>229</v>
      </c>
      <c r="F59" s="5">
        <v>49</v>
      </c>
      <c r="G59" s="9">
        <v>25.786892070897149</v>
      </c>
      <c r="H59" s="9">
        <v>-130.79807477306639</v>
      </c>
      <c r="I59" s="9">
        <v>5.3977737449167149</v>
      </c>
      <c r="J59" s="3">
        <v>2023</v>
      </c>
    </row>
    <row r="60" spans="1:13">
      <c r="A60" s="4" t="s">
        <v>230</v>
      </c>
      <c r="B60" s="8" t="s">
        <v>181</v>
      </c>
      <c r="C60" s="8" t="s">
        <v>182</v>
      </c>
      <c r="D60" s="7" t="s">
        <v>231</v>
      </c>
      <c r="E60" s="3" t="s">
        <v>232</v>
      </c>
      <c r="F60" s="5">
        <v>28</v>
      </c>
      <c r="G60" s="9">
        <v>1.4296314114437569</v>
      </c>
      <c r="H60" s="9">
        <v>0.36000030273979983</v>
      </c>
      <c r="I60" s="9">
        <v>3.35000262542302</v>
      </c>
      <c r="J60" s="3">
        <v>2017</v>
      </c>
      <c r="L60" s="3" t="s">
        <v>230</v>
      </c>
    </row>
    <row r="61" spans="1:13" ht="30.6">
      <c r="A61" s="4" t="s">
        <v>233</v>
      </c>
      <c r="B61" s="8" t="s">
        <v>181</v>
      </c>
      <c r="C61" s="8" t="s">
        <v>182</v>
      </c>
      <c r="D61" s="7" t="s">
        <v>234</v>
      </c>
      <c r="E61" s="3" t="s">
        <v>235</v>
      </c>
      <c r="F61" s="5">
        <v>21</v>
      </c>
      <c r="G61" s="9">
        <v>6.6256842226484034</v>
      </c>
      <c r="H61" s="9">
        <v>-19.07599921148373</v>
      </c>
      <c r="I61" s="9">
        <v>0.37799998466925899</v>
      </c>
      <c r="J61" s="3">
        <v>2011</v>
      </c>
      <c r="K61" s="3" t="s">
        <v>233</v>
      </c>
    </row>
    <row r="62" spans="1:13">
      <c r="A62" s="4" t="s">
        <v>236</v>
      </c>
      <c r="B62" s="8" t="s">
        <v>181</v>
      </c>
      <c r="C62" s="8" t="s">
        <v>182</v>
      </c>
      <c r="D62" s="7" t="s">
        <v>237</v>
      </c>
      <c r="E62" s="3" t="s">
        <v>238</v>
      </c>
      <c r="F62" s="5">
        <v>30</v>
      </c>
      <c r="G62" s="9">
        <v>2.3355640751059852</v>
      </c>
      <c r="H62" s="9">
        <v>-3.809999842218792</v>
      </c>
      <c r="I62" s="9">
        <v>-0.65999997248500464</v>
      </c>
      <c r="J62" s="3">
        <v>2012</v>
      </c>
      <c r="K62" s="3" t="s">
        <v>236</v>
      </c>
    </row>
    <row r="63" spans="1:13">
      <c r="A63" s="4" t="s">
        <v>239</v>
      </c>
      <c r="B63" s="8" t="s">
        <v>181</v>
      </c>
      <c r="C63" s="8" t="s">
        <v>182</v>
      </c>
      <c r="D63" s="7" t="s">
        <v>240</v>
      </c>
      <c r="E63" s="3" t="s">
        <v>241</v>
      </c>
      <c r="F63" s="5">
        <v>5</v>
      </c>
      <c r="G63" s="9">
        <v>62.842271453433867</v>
      </c>
      <c r="H63" s="9">
        <v>-86.859996313922125</v>
      </c>
      <c r="I63" s="9">
        <v>-31.009999007608499</v>
      </c>
      <c r="J63" s="3">
        <v>2015</v>
      </c>
      <c r="K63" s="3" t="s">
        <v>242</v>
      </c>
    </row>
    <row r="64" spans="1:13">
      <c r="A64" s="4" t="s">
        <v>243</v>
      </c>
      <c r="B64" s="8" t="s">
        <v>181</v>
      </c>
      <c r="C64" s="8" t="s">
        <v>182</v>
      </c>
      <c r="D64" s="7" t="s">
        <v>244</v>
      </c>
      <c r="E64" s="3" t="s">
        <v>241</v>
      </c>
      <c r="F64" s="5">
        <v>6</v>
      </c>
      <c r="G64" s="9">
        <v>81.416263192031678</v>
      </c>
      <c r="H64" s="9">
        <v>-116.5799952302697</v>
      </c>
      <c r="I64" s="9">
        <v>-32.309998664396637</v>
      </c>
      <c r="J64" s="3">
        <v>2015</v>
      </c>
      <c r="K64" s="3" t="s">
        <v>245</v>
      </c>
    </row>
    <row r="65" spans="1:13" ht="30.6">
      <c r="A65" s="4" t="s">
        <v>246</v>
      </c>
      <c r="B65" s="8" t="s">
        <v>181</v>
      </c>
      <c r="C65" s="8" t="s">
        <v>182</v>
      </c>
      <c r="D65" s="7" t="s">
        <v>247</v>
      </c>
      <c r="E65" s="3" t="s">
        <v>225</v>
      </c>
      <c r="F65" s="5">
        <v>100</v>
      </c>
      <c r="G65" s="9">
        <v>20.688619900279601</v>
      </c>
      <c r="H65" s="9">
        <v>-40.92800022585746</v>
      </c>
      <c r="I65" s="9">
        <v>-2.5930002962959988</v>
      </c>
      <c r="J65" s="3">
        <v>2020</v>
      </c>
    </row>
    <row r="66" spans="1:13" ht="30.6">
      <c r="A66" s="4" t="s">
        <v>248</v>
      </c>
      <c r="B66" s="8" t="s">
        <v>181</v>
      </c>
      <c r="C66" s="8" t="s">
        <v>182</v>
      </c>
      <c r="D66" s="7" t="s">
        <v>249</v>
      </c>
      <c r="E66" s="3" t="s">
        <v>225</v>
      </c>
      <c r="F66" s="5">
        <v>200</v>
      </c>
      <c r="G66" s="9">
        <v>13.865574060747941</v>
      </c>
      <c r="H66" s="9">
        <v>-31.07399995388683</v>
      </c>
      <c r="I66" s="9">
        <v>0.41200013032672977</v>
      </c>
      <c r="J66" s="3">
        <v>2020</v>
      </c>
    </row>
    <row r="67" spans="1:13">
      <c r="A67" s="4" t="s">
        <v>250</v>
      </c>
      <c r="B67" s="8" t="s">
        <v>181</v>
      </c>
      <c r="C67" s="8" t="s">
        <v>182</v>
      </c>
      <c r="D67" s="7" t="s">
        <v>251</v>
      </c>
      <c r="E67" s="3" t="s">
        <v>196</v>
      </c>
      <c r="F67" s="5">
        <v>16</v>
      </c>
      <c r="G67" s="9">
        <v>109.342827134629</v>
      </c>
      <c r="H67" s="9">
        <v>-120.80009119725371</v>
      </c>
      <c r="I67" s="9">
        <v>-87.420066089785934</v>
      </c>
      <c r="J67" s="3">
        <v>2015</v>
      </c>
      <c r="K67" s="3" t="s">
        <v>197</v>
      </c>
      <c r="L67" s="3" t="s">
        <v>250</v>
      </c>
    </row>
    <row r="68" spans="1:13" ht="30.6">
      <c r="A68" s="4" t="s">
        <v>252</v>
      </c>
      <c r="B68" s="8" t="s">
        <v>181</v>
      </c>
      <c r="C68" s="8" t="s">
        <v>182</v>
      </c>
      <c r="D68" s="7" t="s">
        <v>253</v>
      </c>
      <c r="E68" s="3" t="s">
        <v>173</v>
      </c>
      <c r="F68" s="5">
        <v>184</v>
      </c>
      <c r="G68" s="9">
        <v>1.914831526008864</v>
      </c>
      <c r="H68" s="9">
        <v>-2.9539998777527838</v>
      </c>
      <c r="I68" s="9">
        <v>9.3409996140354927</v>
      </c>
      <c r="J68" s="3">
        <v>2011</v>
      </c>
      <c r="K68" s="3" t="s">
        <v>252</v>
      </c>
      <c r="M68" s="3" t="s">
        <v>254</v>
      </c>
    </row>
    <row r="69" spans="1:13" ht="30.6">
      <c r="A69" s="4" t="s">
        <v>255</v>
      </c>
      <c r="B69" s="8" t="s">
        <v>181</v>
      </c>
      <c r="C69" s="8" t="s">
        <v>182</v>
      </c>
      <c r="D69" s="7" t="s">
        <v>256</v>
      </c>
      <c r="E69" s="3" t="s">
        <v>257</v>
      </c>
      <c r="F69" s="5">
        <v>11</v>
      </c>
      <c r="G69" s="9">
        <v>0.48124815436796931</v>
      </c>
      <c r="H69" s="9">
        <v>-1.1432256252783151</v>
      </c>
      <c r="I69" s="9">
        <v>-3.1421972155027837E-2</v>
      </c>
      <c r="J69" s="3">
        <v>2014</v>
      </c>
      <c r="K69" s="3" t="s">
        <v>258</v>
      </c>
    </row>
    <row r="70" spans="1:13" ht="30.6">
      <c r="A70" s="4" t="s">
        <v>259</v>
      </c>
      <c r="B70" s="8" t="s">
        <v>181</v>
      </c>
      <c r="C70" s="8" t="s">
        <v>182</v>
      </c>
      <c r="D70" s="7" t="s">
        <v>260</v>
      </c>
      <c r="E70" s="3" t="s">
        <v>261</v>
      </c>
      <c r="F70" s="5">
        <v>24</v>
      </c>
      <c r="G70" s="9">
        <v>7.1285964996592686</v>
      </c>
      <c r="H70" s="9">
        <v>-29.520628488777628</v>
      </c>
      <c r="I70" s="9">
        <v>-5.5982002709314783E-2</v>
      </c>
      <c r="J70" s="3">
        <v>2021</v>
      </c>
      <c r="M70" s="7"/>
    </row>
    <row r="71" spans="1:13">
      <c r="A71" s="4" t="s">
        <v>262</v>
      </c>
      <c r="B71" s="8" t="s">
        <v>181</v>
      </c>
      <c r="C71" s="8" t="s">
        <v>182</v>
      </c>
      <c r="D71" s="7" t="s">
        <v>263</v>
      </c>
      <c r="E71" s="3" t="s">
        <v>261</v>
      </c>
      <c r="F71" s="5">
        <v>96</v>
      </c>
      <c r="G71" s="9">
        <v>4.1990670307896956</v>
      </c>
      <c r="H71" s="9">
        <v>-25.511451633724072</v>
      </c>
      <c r="I71" s="9">
        <v>0.1506480819660064</v>
      </c>
      <c r="J71" s="3">
        <v>2021</v>
      </c>
      <c r="M71" s="7"/>
    </row>
    <row r="72" spans="1:13">
      <c r="A72" s="4" t="s">
        <v>264</v>
      </c>
      <c r="B72" s="8" t="s">
        <v>181</v>
      </c>
      <c r="C72" s="8" t="s">
        <v>182</v>
      </c>
      <c r="D72" s="7" t="s">
        <v>265</v>
      </c>
      <c r="E72" s="3" t="s">
        <v>266</v>
      </c>
      <c r="F72" s="5">
        <v>23</v>
      </c>
      <c r="G72" s="9">
        <v>5.0213153550258696</v>
      </c>
      <c r="H72" s="9">
        <v>0.64000067765063828</v>
      </c>
      <c r="I72" s="9">
        <v>10.970008301321061</v>
      </c>
      <c r="J72" s="3">
        <v>2017</v>
      </c>
      <c r="L72" s="3" t="s">
        <v>264</v>
      </c>
    </row>
    <row r="73" spans="1:13" ht="30.6">
      <c r="A73" s="4" t="s">
        <v>267</v>
      </c>
      <c r="B73" s="8" t="s">
        <v>181</v>
      </c>
      <c r="C73" s="8" t="s">
        <v>182</v>
      </c>
      <c r="D73" s="7" t="s">
        <v>268</v>
      </c>
      <c r="F73" s="5">
        <v>275</v>
      </c>
      <c r="G73" s="9">
        <v>22.044806001518712</v>
      </c>
      <c r="H73" s="9">
        <v>-0.38964322278492008</v>
      </c>
      <c r="I73" s="9">
        <v>238.39649301560371</v>
      </c>
      <c r="K73" s="3" t="s">
        <v>269</v>
      </c>
      <c r="M73" s="7"/>
    </row>
    <row r="74" spans="1:13">
      <c r="A74" s="4" t="s">
        <v>270</v>
      </c>
      <c r="B74" s="8" t="s">
        <v>181</v>
      </c>
      <c r="C74" s="8" t="s">
        <v>182</v>
      </c>
      <c r="D74" s="7" t="s">
        <v>271</v>
      </c>
      <c r="E74" s="3" t="s">
        <v>272</v>
      </c>
      <c r="F74" s="5">
        <v>18</v>
      </c>
      <c r="G74" s="9">
        <v>0.70523493342859889</v>
      </c>
      <c r="H74" s="9">
        <v>7.9999927828961287E-2</v>
      </c>
      <c r="I74" s="9">
        <v>1.5100011478095401</v>
      </c>
      <c r="J74" s="3">
        <v>2017</v>
      </c>
      <c r="L74" s="3" t="s">
        <v>270</v>
      </c>
    </row>
    <row r="75" spans="1:13">
      <c r="A75" s="4" t="s">
        <v>273</v>
      </c>
      <c r="B75" s="8" t="s">
        <v>181</v>
      </c>
      <c r="C75" s="8" t="s">
        <v>182</v>
      </c>
      <c r="D75" s="7" t="s">
        <v>274</v>
      </c>
      <c r="E75" s="3" t="s">
        <v>275</v>
      </c>
      <c r="F75" s="5">
        <v>22</v>
      </c>
      <c r="G75" s="9">
        <v>9.6459325872608535</v>
      </c>
      <c r="H75" s="9">
        <v>0.52700065409033581</v>
      </c>
      <c r="I75" s="9">
        <v>20.641015515485261</v>
      </c>
      <c r="J75" s="3">
        <v>2011</v>
      </c>
      <c r="K75" s="3" t="s">
        <v>273</v>
      </c>
      <c r="L75" s="3" t="s">
        <v>273</v>
      </c>
    </row>
    <row r="76" spans="1:13">
      <c r="A76" s="4" t="s">
        <v>276</v>
      </c>
      <c r="B76" s="8" t="s">
        <v>181</v>
      </c>
      <c r="C76" s="8" t="s">
        <v>182</v>
      </c>
      <c r="D76" s="7" t="s">
        <v>274</v>
      </c>
      <c r="E76" s="3" t="s">
        <v>899</v>
      </c>
      <c r="F76" s="5">
        <v>66</v>
      </c>
      <c r="G76" s="9">
        <v>6.9082888714075752</v>
      </c>
      <c r="H76" s="9">
        <v>-19.83376234540415</v>
      </c>
      <c r="I76" s="9">
        <v>-1.356224498206863</v>
      </c>
      <c r="J76" s="3">
        <v>2022</v>
      </c>
      <c r="K76" s="3" t="s">
        <v>276</v>
      </c>
      <c r="L76" s="3" t="s">
        <v>276</v>
      </c>
      <c r="M76" s="3" t="s">
        <v>277</v>
      </c>
    </row>
    <row r="77" spans="1:13" ht="30.6">
      <c r="A77" s="4" t="s">
        <v>162</v>
      </c>
      <c r="B77" s="8" t="s">
        <v>181</v>
      </c>
      <c r="C77" s="8" t="s">
        <v>182</v>
      </c>
      <c r="D77" s="7" t="s">
        <v>163</v>
      </c>
      <c r="E77" s="3" t="s">
        <v>164</v>
      </c>
      <c r="F77" s="5">
        <v>462</v>
      </c>
      <c r="G77" s="9">
        <v>2.7432879573186719</v>
      </c>
      <c r="H77" s="9">
        <v>-0.111999773458651</v>
      </c>
      <c r="I77" s="9">
        <v>15.80300030173324</v>
      </c>
      <c r="J77" s="3">
        <v>2022</v>
      </c>
      <c r="K77" s="3" t="s">
        <v>165</v>
      </c>
    </row>
    <row r="78" spans="1:13">
      <c r="A78" s="4" t="s">
        <v>278</v>
      </c>
      <c r="B78" s="8" t="s">
        <v>181</v>
      </c>
      <c r="C78" s="8" t="s">
        <v>182</v>
      </c>
      <c r="D78" s="7" t="s">
        <v>279</v>
      </c>
      <c r="E78" s="3" t="s">
        <v>280</v>
      </c>
      <c r="F78" s="5">
        <v>38</v>
      </c>
      <c r="G78" s="9">
        <v>51.607195475018379</v>
      </c>
      <c r="H78" s="9">
        <v>-93.142105723915563</v>
      </c>
      <c r="I78" s="9">
        <v>-4.9697969145092342</v>
      </c>
      <c r="J78" s="8">
        <v>2023</v>
      </c>
      <c r="K78" s="3" t="s">
        <v>281</v>
      </c>
    </row>
    <row r="79" spans="1:13" ht="30.6">
      <c r="A79" s="4" t="s">
        <v>282</v>
      </c>
      <c r="B79" s="8" t="s">
        <v>181</v>
      </c>
      <c r="C79" s="8" t="s">
        <v>182</v>
      </c>
      <c r="D79" s="7" t="s">
        <v>283</v>
      </c>
      <c r="E79" s="3" t="s">
        <v>173</v>
      </c>
      <c r="F79" s="5">
        <v>22</v>
      </c>
      <c r="G79" s="9">
        <v>34.199236096277708</v>
      </c>
      <c r="H79" s="9">
        <v>-43.319609514077058</v>
      </c>
      <c r="I79" s="9">
        <v>-19.97574942388054</v>
      </c>
      <c r="J79" s="3">
        <v>2013</v>
      </c>
      <c r="K79" s="3" t="s">
        <v>284</v>
      </c>
    </row>
    <row r="80" spans="1:13">
      <c r="A80" s="4" t="s">
        <v>171</v>
      </c>
      <c r="B80" s="8" t="s">
        <v>181</v>
      </c>
      <c r="C80" s="8" t="s">
        <v>182</v>
      </c>
      <c r="D80" s="7" t="s">
        <v>172</v>
      </c>
      <c r="E80" s="3" t="s">
        <v>173</v>
      </c>
      <c r="F80" s="5">
        <v>28</v>
      </c>
      <c r="G80" s="9">
        <v>1.548811920111792</v>
      </c>
      <c r="H80" s="9">
        <v>0.33702216081867081</v>
      </c>
      <c r="I80" s="9">
        <v>3.6240447978776591</v>
      </c>
      <c r="J80" s="3">
        <v>2013</v>
      </c>
      <c r="K80" s="3" t="s">
        <v>174</v>
      </c>
      <c r="M80" s="7"/>
    </row>
    <row r="81" spans="1:13">
      <c r="A81" s="4" t="s">
        <v>285</v>
      </c>
      <c r="B81" s="8" t="s">
        <v>181</v>
      </c>
      <c r="C81" s="8" t="s">
        <v>182</v>
      </c>
      <c r="D81" s="7" t="s">
        <v>286</v>
      </c>
      <c r="E81" s="3" t="s">
        <v>287</v>
      </c>
      <c r="F81" s="5">
        <v>13</v>
      </c>
      <c r="G81" s="9">
        <v>21.999769779298049</v>
      </c>
      <c r="H81" s="9">
        <v>-64.201717934553017</v>
      </c>
      <c r="I81" s="9">
        <v>-1.6897706894477229</v>
      </c>
      <c r="J81" s="3">
        <v>2013</v>
      </c>
      <c r="K81" s="3" t="s">
        <v>288</v>
      </c>
      <c r="M81" s="7"/>
    </row>
    <row r="82" spans="1:13" ht="30.6">
      <c r="A82" s="4" t="s">
        <v>289</v>
      </c>
      <c r="B82" s="8" t="s">
        <v>181</v>
      </c>
      <c r="C82" s="8" t="s">
        <v>182</v>
      </c>
      <c r="D82" s="7" t="s">
        <v>290</v>
      </c>
      <c r="E82" s="3" t="s">
        <v>291</v>
      </c>
      <c r="F82" s="5">
        <v>27</v>
      </c>
      <c r="G82" s="9">
        <v>101.18638958999991</v>
      </c>
      <c r="H82" s="9">
        <v>4.9739999999999984</v>
      </c>
      <c r="I82" s="9">
        <v>210.76299999999989</v>
      </c>
      <c r="J82" s="8">
        <v>2023</v>
      </c>
      <c r="K82" s="3" t="s">
        <v>292</v>
      </c>
      <c r="L82" s="3" t="s">
        <v>289</v>
      </c>
      <c r="M82" s="3" t="s">
        <v>293</v>
      </c>
    </row>
    <row r="83" spans="1:13" ht="30.6">
      <c r="A83" s="4" t="s">
        <v>294</v>
      </c>
      <c r="B83" s="8" t="s">
        <v>181</v>
      </c>
      <c r="C83" s="8" t="s">
        <v>182</v>
      </c>
      <c r="D83" s="7" t="s">
        <v>295</v>
      </c>
      <c r="E83" s="3" t="s">
        <v>296</v>
      </c>
      <c r="F83" s="5">
        <v>40</v>
      </c>
      <c r="G83" s="9">
        <v>4.8987349868884316</v>
      </c>
      <c r="H83" s="9">
        <v>-14.13799992126456</v>
      </c>
      <c r="I83" s="9">
        <v>-0.45799971232269809</v>
      </c>
      <c r="J83" s="3">
        <v>2012</v>
      </c>
      <c r="K83" s="3" t="s">
        <v>294</v>
      </c>
      <c r="L83" s="3" t="s">
        <v>297</v>
      </c>
    </row>
    <row r="84" spans="1:13">
      <c r="A84" s="4" t="s">
        <v>298</v>
      </c>
      <c r="B84" s="8" t="s">
        <v>181</v>
      </c>
      <c r="C84" s="8" t="s">
        <v>182</v>
      </c>
      <c r="D84" s="7" t="s">
        <v>299</v>
      </c>
      <c r="E84" s="3" t="s">
        <v>296</v>
      </c>
      <c r="F84" s="5">
        <v>200</v>
      </c>
      <c r="G84" s="9">
        <v>4.0174891706872131</v>
      </c>
      <c r="H84" s="9">
        <v>-14.12299993479663</v>
      </c>
      <c r="I84" s="9">
        <v>11.94900026451997</v>
      </c>
      <c r="J84" s="3">
        <v>2012</v>
      </c>
      <c r="K84" s="3" t="s">
        <v>294</v>
      </c>
      <c r="L84" s="3" t="s">
        <v>297</v>
      </c>
    </row>
    <row r="85" spans="1:13" ht="45.9">
      <c r="A85" s="4" t="s">
        <v>896</v>
      </c>
      <c r="B85" s="8" t="s">
        <v>181</v>
      </c>
      <c r="C85" s="8" t="s">
        <v>182</v>
      </c>
      <c r="D85" s="7" t="s">
        <v>895</v>
      </c>
      <c r="E85" s="3" t="s">
        <v>893</v>
      </c>
      <c r="F85" s="5">
        <v>25</v>
      </c>
      <c r="G85" s="9">
        <v>5.8803415694181274</v>
      </c>
      <c r="H85" s="9">
        <v>-15.30410642449552</v>
      </c>
      <c r="I85" s="9">
        <v>-0.74370540337169011</v>
      </c>
      <c r="J85" s="3">
        <v>2013</v>
      </c>
      <c r="K85" s="3" t="s">
        <v>894</v>
      </c>
      <c r="L85" s="3" t="s">
        <v>297</v>
      </c>
    </row>
    <row r="86" spans="1:13" ht="30.6">
      <c r="A86" s="4" t="s">
        <v>304</v>
      </c>
      <c r="B86" s="8" t="s">
        <v>305</v>
      </c>
      <c r="C86" s="8" t="s">
        <v>306</v>
      </c>
      <c r="D86" s="7" t="s">
        <v>307</v>
      </c>
      <c r="E86" s="3" t="s">
        <v>308</v>
      </c>
      <c r="F86" s="5">
        <v>11</v>
      </c>
      <c r="G86" s="14">
        <v>6518016.6200118102</v>
      </c>
      <c r="H86" s="14">
        <v>-13725071.12711698</v>
      </c>
      <c r="I86" s="14">
        <v>-425190.88712663553</v>
      </c>
      <c r="M86" s="7"/>
    </row>
    <row r="87" spans="1:13" ht="61.2">
      <c r="A87" s="4" t="s">
        <v>309</v>
      </c>
      <c r="B87" s="8" t="s">
        <v>305</v>
      </c>
      <c r="C87" s="8" t="s">
        <v>306</v>
      </c>
      <c r="D87" s="7" t="s">
        <v>310</v>
      </c>
      <c r="E87" s="3" t="s">
        <v>311</v>
      </c>
      <c r="F87" s="5">
        <v>18</v>
      </c>
      <c r="G87" s="14">
        <v>148738.61009900121</v>
      </c>
      <c r="H87" s="14">
        <v>-331036.34794561239</v>
      </c>
      <c r="I87" s="14">
        <v>-313.75473703</v>
      </c>
      <c r="J87" s="3">
        <v>1993</v>
      </c>
      <c r="K87" s="3" t="s">
        <v>312</v>
      </c>
      <c r="M87" s="7" t="s">
        <v>313</v>
      </c>
    </row>
    <row r="88" spans="1:13">
      <c r="A88" s="4" t="s">
        <v>314</v>
      </c>
      <c r="B88" s="8" t="s">
        <v>305</v>
      </c>
      <c r="C88" s="8" t="s">
        <v>306</v>
      </c>
      <c r="D88" s="7" t="s">
        <v>315</v>
      </c>
      <c r="E88" s="3" t="s">
        <v>22</v>
      </c>
      <c r="F88" s="5">
        <v>6</v>
      </c>
      <c r="G88" s="9">
        <v>36.929397337851121</v>
      </c>
      <c r="H88" s="9">
        <v>23.10001743869049</v>
      </c>
      <c r="I88" s="9">
        <v>51.600038790968497</v>
      </c>
      <c r="J88" s="3">
        <v>2017</v>
      </c>
      <c r="L88" s="3" t="s">
        <v>316</v>
      </c>
    </row>
    <row r="89" spans="1:13" ht="30.6">
      <c r="A89" s="4" t="s">
        <v>317</v>
      </c>
      <c r="B89" s="8" t="s">
        <v>305</v>
      </c>
      <c r="C89" s="8" t="s">
        <v>306</v>
      </c>
      <c r="D89" s="7" t="s">
        <v>318</v>
      </c>
      <c r="E89" s="3" t="s">
        <v>319</v>
      </c>
      <c r="F89" s="5">
        <v>8</v>
      </c>
      <c r="G89" s="9">
        <v>69.97119647854457</v>
      </c>
      <c r="H89" s="9">
        <v>25.300019219043769</v>
      </c>
      <c r="I89" s="9">
        <v>131.13009882092419</v>
      </c>
      <c r="J89" s="3">
        <v>2017</v>
      </c>
      <c r="L89" s="3" t="s">
        <v>317</v>
      </c>
    </row>
    <row r="90" spans="1:13">
      <c r="A90" s="4" t="s">
        <v>320</v>
      </c>
      <c r="B90" s="8" t="s">
        <v>305</v>
      </c>
      <c r="C90" s="8" t="s">
        <v>306</v>
      </c>
      <c r="D90" s="7" t="s">
        <v>321</v>
      </c>
      <c r="E90" s="3" t="s">
        <v>322</v>
      </c>
      <c r="F90" s="5">
        <v>19</v>
      </c>
      <c r="G90" s="9">
        <v>1829.305525152105</v>
      </c>
      <c r="H90" s="9">
        <v>-2484.2598973053232</v>
      </c>
      <c r="I90" s="9">
        <v>-420.42998262017642</v>
      </c>
      <c r="J90" s="3">
        <v>2009</v>
      </c>
      <c r="K90" s="3" t="s">
        <v>320</v>
      </c>
      <c r="M90" s="3" t="s">
        <v>323</v>
      </c>
    </row>
    <row r="91" spans="1:13" ht="30.6">
      <c r="A91" s="4" t="s">
        <v>324</v>
      </c>
      <c r="B91" s="8" t="s">
        <v>305</v>
      </c>
      <c r="C91" s="8" t="s">
        <v>306</v>
      </c>
      <c r="D91" s="7" t="s">
        <v>325</v>
      </c>
      <c r="E91" s="3" t="s">
        <v>326</v>
      </c>
      <c r="F91" s="5">
        <v>10</v>
      </c>
      <c r="G91" s="9">
        <v>105.53301765783419</v>
      </c>
      <c r="H91" s="9">
        <v>56.70004297519742</v>
      </c>
      <c r="I91" s="9">
        <v>142.10010712224519</v>
      </c>
      <c r="J91" s="3" t="s">
        <v>327</v>
      </c>
      <c r="L91" s="3" t="s">
        <v>324</v>
      </c>
    </row>
    <row r="92" spans="1:13">
      <c r="A92" s="4" t="s">
        <v>328</v>
      </c>
      <c r="B92" s="8" t="s">
        <v>305</v>
      </c>
      <c r="C92" s="8" t="s">
        <v>306</v>
      </c>
      <c r="D92" s="7" t="s">
        <v>329</v>
      </c>
      <c r="E92" s="3" t="s">
        <v>98</v>
      </c>
      <c r="F92" s="5">
        <v>14</v>
      </c>
      <c r="G92" s="9">
        <v>10.35379183787308</v>
      </c>
      <c r="H92" s="9">
        <v>2.1999999091200282</v>
      </c>
      <c r="I92" s="9">
        <v>15.399999363212689</v>
      </c>
      <c r="J92" s="3">
        <v>2009</v>
      </c>
      <c r="K92" s="3" t="s">
        <v>328</v>
      </c>
    </row>
    <row r="93" spans="1:13" ht="30.6">
      <c r="A93" s="4" t="s">
        <v>330</v>
      </c>
      <c r="B93" s="8" t="s">
        <v>305</v>
      </c>
      <c r="C93" s="8" t="s">
        <v>306</v>
      </c>
      <c r="D93" s="7" t="s">
        <v>331</v>
      </c>
      <c r="E93" s="3" t="s">
        <v>146</v>
      </c>
      <c r="F93" s="5">
        <v>16</v>
      </c>
      <c r="G93" s="9">
        <v>54.513187854651719</v>
      </c>
      <c r="H93" s="9">
        <v>-105.5799957411454</v>
      </c>
      <c r="I93" s="9">
        <v>-5.2699996382991428</v>
      </c>
      <c r="J93" s="3">
        <v>2011</v>
      </c>
      <c r="K93" s="3" t="s">
        <v>332</v>
      </c>
      <c r="M93" s="7"/>
    </row>
    <row r="94" spans="1:13" ht="30.6">
      <c r="A94" s="4" t="s">
        <v>333</v>
      </c>
      <c r="B94" s="8" t="s">
        <v>305</v>
      </c>
      <c r="C94" s="8" t="s">
        <v>306</v>
      </c>
      <c r="D94" s="7" t="s">
        <v>334</v>
      </c>
      <c r="E94" s="3" t="s">
        <v>146</v>
      </c>
      <c r="F94" s="5">
        <v>83</v>
      </c>
      <c r="G94" s="9">
        <v>114.9839491837558</v>
      </c>
      <c r="H94" s="9">
        <v>-237.07999006170579</v>
      </c>
      <c r="I94" s="9">
        <v>-19.689999179658891</v>
      </c>
      <c r="J94" s="3">
        <v>2011</v>
      </c>
      <c r="K94" s="3" t="s">
        <v>335</v>
      </c>
      <c r="M94" s="7"/>
    </row>
    <row r="95" spans="1:13">
      <c r="A95" s="4" t="s">
        <v>336</v>
      </c>
      <c r="B95" s="8" t="s">
        <v>305</v>
      </c>
      <c r="C95" s="8" t="s">
        <v>306</v>
      </c>
      <c r="D95" s="7" t="s">
        <v>337</v>
      </c>
      <c r="E95" s="3" t="s">
        <v>22</v>
      </c>
      <c r="F95" s="5">
        <v>30</v>
      </c>
      <c r="G95" s="9">
        <v>30.3647381480489</v>
      </c>
      <c r="H95" s="9">
        <v>-103.2800781372754</v>
      </c>
      <c r="I95" s="9">
        <v>5.4400038775020034</v>
      </c>
      <c r="J95" s="3">
        <v>2017</v>
      </c>
      <c r="K95" s="3" t="s">
        <v>336</v>
      </c>
      <c r="L95" s="3" t="s">
        <v>336</v>
      </c>
    </row>
    <row r="96" spans="1:13">
      <c r="A96" s="4" t="s">
        <v>338</v>
      </c>
      <c r="B96" s="8" t="s">
        <v>305</v>
      </c>
      <c r="C96" s="8" t="s">
        <v>306</v>
      </c>
      <c r="D96" s="7" t="s">
        <v>339</v>
      </c>
      <c r="E96" s="3" t="s">
        <v>340</v>
      </c>
      <c r="F96" s="5">
        <v>36</v>
      </c>
      <c r="G96" s="9">
        <v>19.448003809790659</v>
      </c>
      <c r="H96" s="9">
        <v>2.2400017442677602</v>
      </c>
      <c r="I96" s="9">
        <v>49.820037886736209</v>
      </c>
      <c r="J96" s="3">
        <v>2017</v>
      </c>
      <c r="K96" s="3" t="s">
        <v>338</v>
      </c>
      <c r="L96" s="3" t="s">
        <v>338</v>
      </c>
    </row>
    <row r="97" spans="1:13">
      <c r="A97" s="4" t="s">
        <v>341</v>
      </c>
      <c r="B97" s="8" t="s">
        <v>305</v>
      </c>
      <c r="C97" s="8" t="s">
        <v>306</v>
      </c>
      <c r="D97" s="8" t="s">
        <v>342</v>
      </c>
      <c r="E97" s="8" t="s">
        <v>343</v>
      </c>
      <c r="F97" s="5">
        <v>20</v>
      </c>
      <c r="G97" s="9">
        <v>22.305237603757789</v>
      </c>
      <c r="H97" s="9">
        <v>-35.703811289202577</v>
      </c>
      <c r="I97" s="9">
        <v>-7.6596128188817616</v>
      </c>
      <c r="J97" s="3">
        <v>2016</v>
      </c>
      <c r="K97" s="3" t="s">
        <v>344</v>
      </c>
      <c r="M97" s="7"/>
    </row>
    <row r="98" spans="1:13">
      <c r="A98" s="4" t="s">
        <v>345</v>
      </c>
      <c r="B98" s="8" t="s">
        <v>305</v>
      </c>
      <c r="C98" s="8" t="s">
        <v>306</v>
      </c>
      <c r="D98" s="7" t="s">
        <v>346</v>
      </c>
      <c r="E98" s="3" t="s">
        <v>60</v>
      </c>
      <c r="F98" s="5">
        <v>14</v>
      </c>
      <c r="G98" s="9">
        <v>34.941119655197006</v>
      </c>
      <c r="H98" s="9">
        <v>-60.800046179035903</v>
      </c>
      <c r="I98" s="9">
        <v>-14.00001058791876</v>
      </c>
      <c r="J98" s="3">
        <v>2017</v>
      </c>
      <c r="L98" s="3" t="s">
        <v>345</v>
      </c>
    </row>
    <row r="99" spans="1:13">
      <c r="A99" s="4" t="s">
        <v>347</v>
      </c>
      <c r="B99" s="8" t="s">
        <v>305</v>
      </c>
      <c r="C99" s="8" t="s">
        <v>306</v>
      </c>
      <c r="D99" s="7" t="s">
        <v>348</v>
      </c>
      <c r="E99" s="3" t="s">
        <v>349</v>
      </c>
      <c r="F99" s="5">
        <v>13</v>
      </c>
      <c r="G99" s="9">
        <v>71.318314721715268</v>
      </c>
      <c r="H99" s="9">
        <v>-106.00008007602641</v>
      </c>
      <c r="I99" s="9">
        <v>152.6001152200617</v>
      </c>
      <c r="J99" s="3">
        <v>2017</v>
      </c>
      <c r="L99" s="3" t="s">
        <v>347</v>
      </c>
    </row>
    <row r="100" spans="1:13">
      <c r="A100" s="4" t="s">
        <v>350</v>
      </c>
      <c r="B100" s="8" t="s">
        <v>305</v>
      </c>
      <c r="C100" s="8" t="s">
        <v>306</v>
      </c>
      <c r="D100" s="7" t="s">
        <v>351</v>
      </c>
      <c r="E100" s="3" t="s">
        <v>60</v>
      </c>
      <c r="F100" s="5">
        <v>9</v>
      </c>
      <c r="G100" s="9">
        <v>650.43196523673146</v>
      </c>
      <c r="H100" s="9">
        <v>522.10039432932331</v>
      </c>
      <c r="I100" s="9">
        <v>776.50058651178676</v>
      </c>
      <c r="J100" s="3">
        <v>2017</v>
      </c>
      <c r="L100" s="3" t="s">
        <v>352</v>
      </c>
      <c r="M100" s="3" t="s">
        <v>353</v>
      </c>
    </row>
    <row r="101" spans="1:13">
      <c r="A101" s="4" t="s">
        <v>354</v>
      </c>
      <c r="B101" s="8" t="s">
        <v>305</v>
      </c>
      <c r="C101" s="8" t="s">
        <v>306</v>
      </c>
      <c r="D101" s="7" t="s">
        <v>355</v>
      </c>
      <c r="E101" s="3" t="s">
        <v>356</v>
      </c>
      <c r="F101" s="5">
        <v>50</v>
      </c>
      <c r="G101" s="9">
        <v>45.418473438335063</v>
      </c>
      <c r="H101" s="9">
        <v>-1.1530273232631321</v>
      </c>
      <c r="I101" s="9">
        <v>103.77246536877659</v>
      </c>
      <c r="J101" s="3">
        <v>2021</v>
      </c>
    </row>
    <row r="102" spans="1:13">
      <c r="A102" s="4" t="s">
        <v>357</v>
      </c>
      <c r="B102" s="8" t="s">
        <v>305</v>
      </c>
      <c r="C102" s="8" t="s">
        <v>306</v>
      </c>
      <c r="D102" s="7" t="s">
        <v>358</v>
      </c>
      <c r="E102" s="3" t="s">
        <v>359</v>
      </c>
      <c r="F102" s="5">
        <v>51</v>
      </c>
      <c r="G102" s="9">
        <v>45.353815142473373</v>
      </c>
      <c r="H102" s="9">
        <v>-150.81011369734131</v>
      </c>
      <c r="I102" s="9">
        <v>-0.17999983761516289</v>
      </c>
      <c r="J102" s="3" t="s">
        <v>360</v>
      </c>
      <c r="L102" s="3" t="s">
        <v>357</v>
      </c>
    </row>
    <row r="103" spans="1:13">
      <c r="A103" s="4" t="s">
        <v>361</v>
      </c>
      <c r="B103" s="8" t="s">
        <v>305</v>
      </c>
      <c r="C103" s="8" t="s">
        <v>306</v>
      </c>
      <c r="D103" s="7" t="s">
        <v>362</v>
      </c>
      <c r="E103" s="3" t="s">
        <v>363</v>
      </c>
      <c r="F103" s="5">
        <v>25</v>
      </c>
      <c r="G103" s="9">
        <v>41.048886433369987</v>
      </c>
      <c r="H103" s="9">
        <v>0.1891376305764246</v>
      </c>
      <c r="I103" s="9">
        <v>89.086610771070283</v>
      </c>
      <c r="J103" s="3">
        <v>1999</v>
      </c>
      <c r="K103" s="3" t="s">
        <v>361</v>
      </c>
      <c r="L103" s="3" t="s">
        <v>361</v>
      </c>
    </row>
    <row r="104" spans="1:13">
      <c r="A104" s="4" t="s">
        <v>364</v>
      </c>
      <c r="B104" s="8" t="s">
        <v>305</v>
      </c>
      <c r="C104" s="8" t="s">
        <v>306</v>
      </c>
      <c r="D104" s="7" t="s">
        <v>365</v>
      </c>
      <c r="E104" s="3" t="s">
        <v>363</v>
      </c>
      <c r="F104" s="5">
        <v>36</v>
      </c>
      <c r="G104" s="9">
        <v>265.65398535576668</v>
      </c>
      <c r="H104" s="9">
        <v>118.13057490572881</v>
      </c>
      <c r="I104" s="9">
        <v>402.15114887553273</v>
      </c>
      <c r="J104" s="3">
        <v>1999</v>
      </c>
      <c r="K104" s="3" t="s">
        <v>361</v>
      </c>
      <c r="L104" s="3" t="s">
        <v>361</v>
      </c>
    </row>
    <row r="105" spans="1:13">
      <c r="A105" s="4" t="s">
        <v>366</v>
      </c>
      <c r="B105" s="8" t="s">
        <v>305</v>
      </c>
      <c r="C105" s="8" t="s">
        <v>306</v>
      </c>
      <c r="D105" s="7" t="s">
        <v>367</v>
      </c>
      <c r="E105" s="3" t="s">
        <v>22</v>
      </c>
      <c r="F105" s="5">
        <v>24</v>
      </c>
      <c r="G105" s="9">
        <v>71.047708464929144</v>
      </c>
      <c r="H105" s="9">
        <v>-216.11016334687</v>
      </c>
      <c r="I105" s="9">
        <v>-2.1800017983960389</v>
      </c>
      <c r="J105" s="3">
        <v>2017</v>
      </c>
      <c r="L105" s="3" t="s">
        <v>368</v>
      </c>
    </row>
    <row r="106" spans="1:13">
      <c r="A106" s="4" t="s">
        <v>369</v>
      </c>
      <c r="B106" s="8" t="s">
        <v>305</v>
      </c>
      <c r="C106" s="8" t="s">
        <v>306</v>
      </c>
      <c r="D106" s="7" t="s">
        <v>370</v>
      </c>
      <c r="E106" s="3" t="s">
        <v>146</v>
      </c>
      <c r="F106" s="5">
        <v>202</v>
      </c>
      <c r="G106" s="9">
        <v>83.411760396200691</v>
      </c>
      <c r="H106" s="9">
        <v>-242.63999006589441</v>
      </c>
      <c r="I106" s="9">
        <v>233.119990363281</v>
      </c>
      <c r="J106" s="3">
        <v>2011</v>
      </c>
      <c r="K106" s="3" t="s">
        <v>371</v>
      </c>
      <c r="M106" s="7"/>
    </row>
    <row r="107" spans="1:13">
      <c r="A107" s="4" t="s">
        <v>372</v>
      </c>
      <c r="B107" s="8" t="s">
        <v>305</v>
      </c>
      <c r="C107" s="8" t="s">
        <v>306</v>
      </c>
      <c r="D107" s="7" t="s">
        <v>373</v>
      </c>
      <c r="E107" s="3" t="s">
        <v>146</v>
      </c>
      <c r="F107" s="5">
        <v>505</v>
      </c>
      <c r="G107" s="9">
        <v>74.794338271763209</v>
      </c>
      <c r="H107" s="9">
        <v>-194.27999227766199</v>
      </c>
      <c r="I107" s="9">
        <v>242.70998996684929</v>
      </c>
      <c r="J107" s="3">
        <v>2011</v>
      </c>
      <c r="K107" s="3" t="s">
        <v>374</v>
      </c>
      <c r="M107" s="7"/>
    </row>
    <row r="108" spans="1:13" ht="30.6">
      <c r="A108" s="4" t="s">
        <v>375</v>
      </c>
      <c r="B108" s="8" t="s">
        <v>305</v>
      </c>
      <c r="C108" s="8" t="s">
        <v>306</v>
      </c>
      <c r="D108" s="7" t="s">
        <v>376</v>
      </c>
      <c r="E108" s="3" t="s">
        <v>377</v>
      </c>
      <c r="F108" s="5">
        <v>11</v>
      </c>
      <c r="G108" s="9">
        <v>58.560661079681189</v>
      </c>
      <c r="H108" s="9">
        <v>43.790033286476671</v>
      </c>
      <c r="I108" s="9">
        <v>73.82005576852147</v>
      </c>
      <c r="J108" s="3">
        <v>2017</v>
      </c>
      <c r="L108" s="3" t="s">
        <v>375</v>
      </c>
    </row>
    <row r="109" spans="1:13">
      <c r="A109" s="4" t="s">
        <v>378</v>
      </c>
      <c r="B109" s="8" t="s">
        <v>305</v>
      </c>
      <c r="C109" s="8" t="s">
        <v>306</v>
      </c>
      <c r="D109" s="7" t="s">
        <v>379</v>
      </c>
      <c r="E109" s="3" t="s">
        <v>380</v>
      </c>
      <c r="F109" s="5">
        <v>18</v>
      </c>
      <c r="G109" s="9">
        <v>56.948396982996123</v>
      </c>
      <c r="H109" s="9">
        <v>44.574568221287556</v>
      </c>
      <c r="I109" s="9">
        <v>68.212234522333702</v>
      </c>
      <c r="J109" s="3">
        <v>2015</v>
      </c>
      <c r="K109" s="3" t="s">
        <v>378</v>
      </c>
      <c r="M109" s="3" t="s">
        <v>381</v>
      </c>
    </row>
    <row r="110" spans="1:13">
      <c r="A110" s="4" t="s">
        <v>382</v>
      </c>
      <c r="B110" s="8" t="s">
        <v>305</v>
      </c>
      <c r="C110" s="8" t="s">
        <v>306</v>
      </c>
      <c r="D110" s="7" t="s">
        <v>383</v>
      </c>
      <c r="F110" s="5">
        <v>23</v>
      </c>
      <c r="G110" s="9">
        <v>307.03115210352172</v>
      </c>
      <c r="H110" s="9">
        <v>230.76690213248941</v>
      </c>
      <c r="I110" s="9">
        <v>496.56277617804039</v>
      </c>
      <c r="J110" s="3">
        <v>2024</v>
      </c>
    </row>
    <row r="111" spans="1:13">
      <c r="A111" s="4" t="s">
        <v>384</v>
      </c>
      <c r="B111" s="8" t="s">
        <v>305</v>
      </c>
      <c r="C111" s="8" t="s">
        <v>306</v>
      </c>
      <c r="D111" s="7" t="s">
        <v>383</v>
      </c>
      <c r="E111" s="3" t="s">
        <v>385</v>
      </c>
      <c r="F111" s="5">
        <v>30</v>
      </c>
      <c r="G111" s="9">
        <v>281.76977423543377</v>
      </c>
      <c r="H111" s="9">
        <v>216.05888452766871</v>
      </c>
      <c r="I111" s="9">
        <v>379.25838150087787</v>
      </c>
      <c r="J111" s="3">
        <v>2019</v>
      </c>
    </row>
    <row r="112" spans="1:13" ht="30.6">
      <c r="A112" s="4" t="s">
        <v>386</v>
      </c>
      <c r="B112" s="8" t="s">
        <v>305</v>
      </c>
      <c r="C112" s="8" t="s">
        <v>306</v>
      </c>
      <c r="D112" s="7" t="s">
        <v>387</v>
      </c>
      <c r="E112" s="3" t="s">
        <v>388</v>
      </c>
      <c r="F112" s="5">
        <v>165</v>
      </c>
      <c r="G112" s="9">
        <v>154.4612402253878</v>
      </c>
      <c r="H112" s="9">
        <v>-570.61643113341336</v>
      </c>
      <c r="I112" s="9">
        <v>433.66432765008682</v>
      </c>
    </row>
    <row r="113" spans="1:13" ht="30.6">
      <c r="A113" s="4" t="s">
        <v>389</v>
      </c>
      <c r="B113" s="8" t="s">
        <v>305</v>
      </c>
      <c r="C113" s="8" t="s">
        <v>306</v>
      </c>
      <c r="D113" s="7" t="s">
        <v>390</v>
      </c>
      <c r="E113" s="3" t="s">
        <v>60</v>
      </c>
      <c r="F113" s="5">
        <v>43</v>
      </c>
      <c r="G113" s="9">
        <v>539.03082067639616</v>
      </c>
      <c r="H113" s="9">
        <v>-362.98087422259738</v>
      </c>
      <c r="I113" s="9">
        <v>1290.7367748333061</v>
      </c>
      <c r="J113" s="3">
        <v>2017</v>
      </c>
      <c r="L113" s="3" t="s">
        <v>389</v>
      </c>
    </row>
    <row r="114" spans="1:13" ht="30.6">
      <c r="A114" s="4" t="s">
        <v>391</v>
      </c>
      <c r="B114" s="8" t="s">
        <v>305</v>
      </c>
      <c r="C114" s="8" t="s">
        <v>306</v>
      </c>
      <c r="D114" s="7" t="s">
        <v>392</v>
      </c>
      <c r="E114" s="3" t="s">
        <v>393</v>
      </c>
      <c r="F114" s="5">
        <v>34</v>
      </c>
      <c r="G114" s="9">
        <v>833.23264612661421</v>
      </c>
      <c r="H114" s="9">
        <v>52.272405152272199</v>
      </c>
      <c r="I114" s="9">
        <v>1674.858422529172</v>
      </c>
      <c r="J114" s="3">
        <v>2023</v>
      </c>
    </row>
    <row r="115" spans="1:13" ht="45.9">
      <c r="A115" s="4" t="s">
        <v>394</v>
      </c>
      <c r="B115" s="8" t="s">
        <v>305</v>
      </c>
      <c r="C115" s="8" t="s">
        <v>306</v>
      </c>
      <c r="D115" s="7" t="s">
        <v>395</v>
      </c>
      <c r="E115" s="3" t="s">
        <v>22</v>
      </c>
      <c r="F115" s="5">
        <v>12</v>
      </c>
      <c r="G115" s="9">
        <v>30.909235405288619</v>
      </c>
      <c r="H115" s="9">
        <v>-48.899999999996119</v>
      </c>
      <c r="I115" s="9">
        <v>40.400000000003203</v>
      </c>
      <c r="J115" s="3">
        <v>2017</v>
      </c>
      <c r="K115" s="3" t="s">
        <v>394</v>
      </c>
      <c r="L115" s="3" t="s">
        <v>394</v>
      </c>
    </row>
    <row r="116" spans="1:13" ht="30.6">
      <c r="A116" s="4" t="s">
        <v>887</v>
      </c>
      <c r="B116" s="8" t="s">
        <v>305</v>
      </c>
      <c r="C116" s="8" t="s">
        <v>306</v>
      </c>
      <c r="D116" s="7" t="s">
        <v>890</v>
      </c>
      <c r="E116" s="3" t="s">
        <v>398</v>
      </c>
      <c r="F116" s="5">
        <v>44</v>
      </c>
      <c r="G116" s="9">
        <v>617.88775965073751</v>
      </c>
      <c r="H116" s="9">
        <v>32.319971470409833</v>
      </c>
      <c r="I116" s="9">
        <v>1467.8863282477321</v>
      </c>
      <c r="J116" s="3">
        <v>2021</v>
      </c>
      <c r="M116" s="3">
        <v>1.1000000000000001</v>
      </c>
    </row>
    <row r="117" spans="1:13" ht="30.6">
      <c r="A117" s="4" t="s">
        <v>888</v>
      </c>
      <c r="B117" s="8" t="s">
        <v>305</v>
      </c>
      <c r="C117" s="8" t="s">
        <v>306</v>
      </c>
      <c r="D117" s="7" t="s">
        <v>891</v>
      </c>
      <c r="E117" s="3" t="s">
        <v>398</v>
      </c>
      <c r="F117" s="5">
        <v>9</v>
      </c>
      <c r="G117" s="9">
        <v>44.284681555702512</v>
      </c>
      <c r="H117" s="9">
        <v>7.3733580570429682</v>
      </c>
      <c r="I117" s="9">
        <v>80.802605317686186</v>
      </c>
      <c r="J117" s="3">
        <v>2021</v>
      </c>
      <c r="M117" s="3">
        <v>1.1000000000000001</v>
      </c>
    </row>
    <row r="118" spans="1:13" ht="30.6">
      <c r="A118" s="4" t="s">
        <v>889</v>
      </c>
      <c r="B118" s="8" t="s">
        <v>305</v>
      </c>
      <c r="C118" s="8" t="s">
        <v>306</v>
      </c>
      <c r="D118" s="7" t="s">
        <v>892</v>
      </c>
      <c r="E118" s="3" t="s">
        <v>398</v>
      </c>
      <c r="F118" s="5">
        <v>15</v>
      </c>
      <c r="G118" s="9">
        <v>224.49302328050351</v>
      </c>
      <c r="H118" s="9">
        <v>129.1738097976158</v>
      </c>
      <c r="I118" s="9">
        <v>327.90180258063629</v>
      </c>
      <c r="J118" s="3">
        <v>2021</v>
      </c>
      <c r="M118" s="3">
        <v>1.1000000000000001</v>
      </c>
    </row>
    <row r="119" spans="1:13">
      <c r="A119" s="4" t="s">
        <v>399</v>
      </c>
      <c r="B119" s="8" t="s">
        <v>305</v>
      </c>
      <c r="C119" s="8" t="s">
        <v>306</v>
      </c>
      <c r="D119" s="7" t="s">
        <v>400</v>
      </c>
      <c r="E119" s="3" t="s">
        <v>401</v>
      </c>
      <c r="F119" s="5">
        <v>26</v>
      </c>
      <c r="G119" s="9">
        <v>191.81364005059501</v>
      </c>
      <c r="H119" s="9">
        <v>106.2000805231083</v>
      </c>
      <c r="I119" s="9">
        <v>236.0001780338381</v>
      </c>
      <c r="J119" s="3">
        <v>2017</v>
      </c>
      <c r="L119" s="3" t="s">
        <v>399</v>
      </c>
    </row>
    <row r="120" spans="1:13" ht="45.9">
      <c r="A120" s="4" t="s">
        <v>897</v>
      </c>
      <c r="B120" s="8" t="s">
        <v>305</v>
      </c>
      <c r="C120" s="8" t="s">
        <v>306</v>
      </c>
      <c r="D120" s="7" t="s">
        <v>898</v>
      </c>
      <c r="E120" s="3" t="s">
        <v>60</v>
      </c>
      <c r="F120" s="5">
        <v>18</v>
      </c>
      <c r="G120" s="9">
        <v>227.23785267841509</v>
      </c>
      <c r="H120" s="9">
        <v>-43.63999828126682</v>
      </c>
      <c r="I120" s="9">
        <v>501.84997898857091</v>
      </c>
      <c r="J120" s="3">
        <v>2015</v>
      </c>
      <c r="K120" s="3" t="s">
        <v>402</v>
      </c>
    </row>
    <row r="121" spans="1:13" ht="30.6">
      <c r="A121" s="4" t="s">
        <v>408</v>
      </c>
      <c r="B121" s="8" t="s">
        <v>305</v>
      </c>
      <c r="C121" s="8" t="s">
        <v>306</v>
      </c>
      <c r="D121" s="7" t="s">
        <v>409</v>
      </c>
      <c r="E121" s="3" t="s">
        <v>60</v>
      </c>
      <c r="F121" s="5">
        <v>6</v>
      </c>
      <c r="G121" s="9">
        <v>2539.273901871928</v>
      </c>
      <c r="H121" s="9">
        <v>793.89996715047175</v>
      </c>
      <c r="I121" s="9">
        <v>4621.4598092154583</v>
      </c>
      <c r="J121" s="3">
        <v>2015</v>
      </c>
      <c r="K121" s="3" t="s">
        <v>408</v>
      </c>
    </row>
    <row r="122" spans="1:13" ht="30.6">
      <c r="A122" s="4" t="s">
        <v>410</v>
      </c>
      <c r="B122" s="8" t="s">
        <v>305</v>
      </c>
      <c r="C122" s="8" t="s">
        <v>306</v>
      </c>
      <c r="D122" s="7" t="s">
        <v>411</v>
      </c>
      <c r="E122" s="3" t="s">
        <v>60</v>
      </c>
      <c r="F122" s="5">
        <v>21</v>
      </c>
      <c r="G122" s="9">
        <v>43.941274925238602</v>
      </c>
      <c r="H122" s="9">
        <v>-6.7200052328032802</v>
      </c>
      <c r="I122" s="9">
        <v>126.5600954135811</v>
      </c>
      <c r="J122" s="3">
        <v>2017</v>
      </c>
      <c r="L122" s="3" t="s">
        <v>410</v>
      </c>
    </row>
    <row r="123" spans="1:13">
      <c r="A123" s="4" t="s">
        <v>412</v>
      </c>
      <c r="B123" s="8" t="s">
        <v>305</v>
      </c>
      <c r="C123" s="8" t="s">
        <v>306</v>
      </c>
      <c r="D123" s="7" t="s">
        <v>413</v>
      </c>
      <c r="E123" s="3" t="s">
        <v>60</v>
      </c>
      <c r="F123" s="5">
        <v>43</v>
      </c>
      <c r="G123" s="9">
        <v>9.9561322078285404</v>
      </c>
      <c r="H123" s="9">
        <v>-26.40002010922041</v>
      </c>
      <c r="I123" s="9">
        <v>6.9000050704184437</v>
      </c>
      <c r="J123" s="3">
        <v>2017</v>
      </c>
      <c r="L123" s="3" t="s">
        <v>412</v>
      </c>
    </row>
    <row r="124" spans="1:13">
      <c r="A124" s="4" t="s">
        <v>414</v>
      </c>
      <c r="B124" s="8" t="s">
        <v>305</v>
      </c>
      <c r="C124" s="8" t="s">
        <v>306</v>
      </c>
      <c r="D124" s="7" t="s">
        <v>415</v>
      </c>
      <c r="E124" s="3" t="s">
        <v>22</v>
      </c>
      <c r="F124" s="5">
        <v>16</v>
      </c>
      <c r="G124" s="9">
        <v>38.074840018332559</v>
      </c>
      <c r="H124" s="9">
        <v>4.9000037371470411</v>
      </c>
      <c r="I124" s="9">
        <v>64.400048578924427</v>
      </c>
      <c r="J124" s="3">
        <v>2017</v>
      </c>
      <c r="L124" s="3" t="s">
        <v>414</v>
      </c>
      <c r="M124" s="3" t="s">
        <v>416</v>
      </c>
    </row>
    <row r="125" spans="1:13">
      <c r="A125" s="4" t="s">
        <v>417</v>
      </c>
      <c r="B125" s="8" t="s">
        <v>305</v>
      </c>
      <c r="C125" s="8" t="s">
        <v>306</v>
      </c>
      <c r="D125" s="7" t="s">
        <v>418</v>
      </c>
      <c r="E125" s="3" t="s">
        <v>146</v>
      </c>
      <c r="F125" s="5">
        <v>13</v>
      </c>
      <c r="G125" s="9">
        <v>25.665933681981191</v>
      </c>
      <c r="H125" s="9">
        <v>-48.059998058873767</v>
      </c>
      <c r="I125" s="9">
        <v>-2.5399995910979429</v>
      </c>
      <c r="J125" s="3">
        <v>2011</v>
      </c>
      <c r="K125" s="3" t="s">
        <v>419</v>
      </c>
      <c r="M125" s="7"/>
    </row>
    <row r="126" spans="1:13">
      <c r="A126" s="4" t="s">
        <v>420</v>
      </c>
      <c r="B126" s="8" t="s">
        <v>305</v>
      </c>
      <c r="C126" s="8" t="s">
        <v>306</v>
      </c>
      <c r="D126" s="7" t="s">
        <v>421</v>
      </c>
      <c r="E126" s="3" t="s">
        <v>146</v>
      </c>
      <c r="F126" s="5">
        <v>17</v>
      </c>
      <c r="G126" s="9">
        <v>141.49404593847211</v>
      </c>
      <c r="H126" s="9">
        <v>53.070039974863548</v>
      </c>
      <c r="I126" s="9">
        <v>234.33017703037061</v>
      </c>
      <c r="J126" s="3">
        <v>2017</v>
      </c>
      <c r="K126" s="3" t="s">
        <v>422</v>
      </c>
      <c r="M126" s="7"/>
    </row>
    <row r="127" spans="1:13">
      <c r="A127" s="4" t="s">
        <v>423</v>
      </c>
      <c r="B127" s="8" t="s">
        <v>305</v>
      </c>
      <c r="C127" s="8" t="s">
        <v>306</v>
      </c>
      <c r="D127" s="7" t="s">
        <v>424</v>
      </c>
      <c r="E127" s="3" t="s">
        <v>146</v>
      </c>
      <c r="F127" s="5">
        <v>183</v>
      </c>
      <c r="G127" s="9">
        <v>518.60345439804973</v>
      </c>
      <c r="H127" s="9">
        <v>39.050029404987548</v>
      </c>
      <c r="I127" s="9">
        <v>1597.3102068458561</v>
      </c>
      <c r="J127" s="3">
        <v>2017</v>
      </c>
      <c r="K127" s="3" t="s">
        <v>425</v>
      </c>
      <c r="M127" s="7" t="s">
        <v>426</v>
      </c>
    </row>
    <row r="128" spans="1:13" ht="30.6">
      <c r="A128" s="4" t="s">
        <v>427</v>
      </c>
      <c r="B128" s="8" t="s">
        <v>305</v>
      </c>
      <c r="C128" s="8" t="s">
        <v>306</v>
      </c>
      <c r="D128" s="7" t="s">
        <v>428</v>
      </c>
      <c r="E128" s="3" t="s">
        <v>429</v>
      </c>
      <c r="F128" s="5">
        <v>6</v>
      </c>
      <c r="G128" s="9">
        <v>7.5263278980235313</v>
      </c>
      <c r="H128" s="9">
        <v>-0.86042091052790215</v>
      </c>
      <c r="I128" s="9">
        <v>11.137666910109891</v>
      </c>
      <c r="J128" s="3">
        <v>2012</v>
      </c>
      <c r="K128" s="3" t="s">
        <v>427</v>
      </c>
    </row>
    <row r="129" spans="1:13">
      <c r="A129" s="4" t="s">
        <v>430</v>
      </c>
      <c r="B129" s="8" t="s">
        <v>305</v>
      </c>
      <c r="C129" s="8" t="s">
        <v>306</v>
      </c>
      <c r="D129" s="7" t="s">
        <v>431</v>
      </c>
      <c r="E129" s="3" t="s">
        <v>22</v>
      </c>
      <c r="F129" s="5">
        <v>18</v>
      </c>
      <c r="G129" s="9">
        <v>53.114080869864416</v>
      </c>
      <c r="H129" s="9">
        <v>12.310009602494061</v>
      </c>
      <c r="I129" s="9">
        <v>91.140069008927398</v>
      </c>
      <c r="J129" s="3" t="s">
        <v>432</v>
      </c>
      <c r="L129" s="3" t="s">
        <v>430</v>
      </c>
    </row>
    <row r="130" spans="1:13" ht="45.9">
      <c r="A130" s="8" t="s">
        <v>433</v>
      </c>
      <c r="B130" s="8" t="s">
        <v>434</v>
      </c>
      <c r="C130" s="8" t="s">
        <v>435</v>
      </c>
      <c r="D130" s="7" t="s">
        <v>436</v>
      </c>
      <c r="E130" s="3" t="s">
        <v>437</v>
      </c>
      <c r="F130" s="5">
        <v>32</v>
      </c>
      <c r="G130" s="9">
        <v>138.96736907048839</v>
      </c>
      <c r="H130" s="9">
        <v>1.9200001504234929</v>
      </c>
      <c r="I130" s="9">
        <v>212.27999988453831</v>
      </c>
      <c r="M130" s="7"/>
    </row>
    <row r="131" spans="1:13" ht="45.9">
      <c r="A131" s="8" t="s">
        <v>438</v>
      </c>
      <c r="B131" s="8" t="s">
        <v>434</v>
      </c>
      <c r="C131" s="8" t="s">
        <v>435</v>
      </c>
      <c r="D131" s="7" t="s">
        <v>439</v>
      </c>
      <c r="E131" s="3" t="s">
        <v>440</v>
      </c>
      <c r="F131" s="5">
        <v>83</v>
      </c>
      <c r="G131" s="9">
        <v>114.12035053683751</v>
      </c>
      <c r="H131" s="9">
        <v>-31.92285460978886</v>
      </c>
      <c r="I131" s="9">
        <v>460.70745711889231</v>
      </c>
      <c r="J131" s="3">
        <v>2020</v>
      </c>
      <c r="M131" s="3" t="s">
        <v>441</v>
      </c>
    </row>
    <row r="132" spans="1:13" ht="30.6">
      <c r="A132" s="4" t="s">
        <v>442</v>
      </c>
      <c r="B132" s="8" t="s">
        <v>434</v>
      </c>
      <c r="C132" s="8" t="s">
        <v>435</v>
      </c>
      <c r="D132" s="7" t="s">
        <v>443</v>
      </c>
      <c r="E132" s="3" t="s">
        <v>444</v>
      </c>
      <c r="F132" s="5">
        <v>12</v>
      </c>
      <c r="G132" s="9">
        <v>64.931118737546939</v>
      </c>
      <c r="H132" s="9">
        <v>18.23955386244722</v>
      </c>
      <c r="I132" s="9">
        <v>87.004592784141821</v>
      </c>
      <c r="J132" s="3">
        <v>2023</v>
      </c>
    </row>
    <row r="133" spans="1:13" ht="30.6">
      <c r="A133" s="8" t="s">
        <v>445</v>
      </c>
      <c r="B133" s="8" t="s">
        <v>434</v>
      </c>
      <c r="C133" s="8" t="s">
        <v>435</v>
      </c>
      <c r="D133" s="7" t="s">
        <v>446</v>
      </c>
      <c r="E133" s="3" t="s">
        <v>447</v>
      </c>
      <c r="F133" s="5">
        <v>52</v>
      </c>
      <c r="G133" s="9">
        <v>21.714587239648569</v>
      </c>
      <c r="H133" s="9">
        <v>-77.321999772936522</v>
      </c>
      <c r="I133" s="9">
        <v>65.056205115494208</v>
      </c>
      <c r="J133" s="3">
        <v>2023</v>
      </c>
    </row>
    <row r="134" spans="1:13" ht="45.9">
      <c r="A134" s="8" t="s">
        <v>448</v>
      </c>
      <c r="B134" s="8" t="s">
        <v>434</v>
      </c>
      <c r="C134" s="8" t="s">
        <v>435</v>
      </c>
      <c r="D134" s="7" t="s">
        <v>882</v>
      </c>
      <c r="E134" s="3" t="s">
        <v>450</v>
      </c>
      <c r="F134" s="5">
        <v>56</v>
      </c>
      <c r="G134" s="9">
        <v>26.910487825786429</v>
      </c>
      <c r="H134" s="9">
        <v>-4.2899998948848932</v>
      </c>
      <c r="I134" s="9">
        <v>82.339999764076339</v>
      </c>
      <c r="J134" s="3">
        <v>2022</v>
      </c>
    </row>
    <row r="135" spans="1:13" ht="45.9">
      <c r="A135" s="8" t="s">
        <v>458</v>
      </c>
      <c r="B135" s="8" t="s">
        <v>434</v>
      </c>
      <c r="C135" s="8" t="s">
        <v>435</v>
      </c>
      <c r="D135" s="7" t="s">
        <v>459</v>
      </c>
      <c r="F135" s="5">
        <v>13</v>
      </c>
      <c r="G135" s="9">
        <v>33.903675770001897</v>
      </c>
      <c r="H135" s="9">
        <v>-64.400000260694924</v>
      </c>
      <c r="I135" s="9">
        <v>27.000000115143919</v>
      </c>
      <c r="J135" s="3">
        <v>2019</v>
      </c>
      <c r="M135" s="3" t="s">
        <v>457</v>
      </c>
    </row>
    <row r="136" spans="1:13" ht="30.6">
      <c r="A136" s="8" t="s">
        <v>451</v>
      </c>
      <c r="B136" s="8" t="s">
        <v>434</v>
      </c>
      <c r="C136" s="8" t="s">
        <v>435</v>
      </c>
      <c r="D136" s="7" t="s">
        <v>452</v>
      </c>
      <c r="E136" s="3" t="s">
        <v>453</v>
      </c>
      <c r="F136" s="5">
        <v>61</v>
      </c>
      <c r="G136" s="9">
        <v>64.101410092269973</v>
      </c>
      <c r="H136" s="9">
        <v>-203.09000001756331</v>
      </c>
      <c r="I136" s="9">
        <v>-0.65000004111978449</v>
      </c>
      <c r="J136" s="3">
        <v>2021</v>
      </c>
      <c r="M136" s="3" t="s">
        <v>454</v>
      </c>
    </row>
    <row r="137" spans="1:13" ht="45.9">
      <c r="A137" s="8" t="s">
        <v>460</v>
      </c>
      <c r="B137" s="8" t="s">
        <v>434</v>
      </c>
      <c r="C137" s="8" t="s">
        <v>435</v>
      </c>
      <c r="D137" s="7" t="s">
        <v>461</v>
      </c>
      <c r="F137" s="5">
        <v>11</v>
      </c>
      <c r="G137" s="9">
        <v>16.138106385964178</v>
      </c>
      <c r="H137" s="9">
        <v>3.3500001153851242</v>
      </c>
      <c r="I137" s="9">
        <v>37.139999752597397</v>
      </c>
      <c r="J137" s="3">
        <v>2019</v>
      </c>
      <c r="M137" s="3" t="s">
        <v>457</v>
      </c>
    </row>
    <row r="138" spans="1:13" ht="45.9">
      <c r="A138" s="8" t="s">
        <v>455</v>
      </c>
      <c r="B138" s="8" t="s">
        <v>434</v>
      </c>
      <c r="C138" s="8" t="s">
        <v>435</v>
      </c>
      <c r="D138" s="7" t="s">
        <v>456</v>
      </c>
      <c r="F138" s="5">
        <v>10</v>
      </c>
      <c r="G138" s="9">
        <v>88.936246585146392</v>
      </c>
      <c r="H138" s="9">
        <v>34.297322849215043</v>
      </c>
      <c r="I138" s="9">
        <v>151.00382398945521</v>
      </c>
      <c r="J138" s="3">
        <v>2019</v>
      </c>
      <c r="M138" s="3" t="s">
        <v>457</v>
      </c>
    </row>
    <row r="139" spans="1:13">
      <c r="E139" s="3" t="s">
        <v>462</v>
      </c>
    </row>
    <row r="140" spans="1:13">
      <c r="E140" s="3" t="s">
        <v>463</v>
      </c>
    </row>
    <row r="141" spans="1:13">
      <c r="E141" s="3" t="s">
        <v>464</v>
      </c>
    </row>
    <row r="142" spans="1:13">
      <c r="E142" s="3" t="s">
        <v>465</v>
      </c>
    </row>
    <row r="143" spans="1:13">
      <c r="E143" s="3" t="s">
        <v>466</v>
      </c>
    </row>
  </sheetData>
  <sortState xmlns:xlrd2="http://schemas.microsoft.com/office/spreadsheetml/2017/richdata2" ref="A2:M144">
    <sortCondition ref="B1:B144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9"/>
  <sheetViews>
    <sheetView workbookViewId="0">
      <selection activeCell="D14" sqref="D14"/>
    </sheetView>
  </sheetViews>
  <sheetFormatPr defaultColWidth="9" defaultRowHeight="15.3"/>
  <cols>
    <col min="1" max="1" width="21.64453125" style="4" customWidth="1"/>
    <col min="2" max="2" width="13.1171875" style="8" customWidth="1"/>
    <col min="3" max="3" width="24.1171875" style="4" customWidth="1"/>
    <col min="4" max="4" width="21.64453125" style="15" customWidth="1"/>
    <col min="5" max="6" width="24.1171875" style="4" customWidth="1"/>
  </cols>
  <sheetData>
    <row r="1" spans="1:6">
      <c r="A1" s="4" t="s">
        <v>0</v>
      </c>
      <c r="B1" s="8" t="s">
        <v>1</v>
      </c>
      <c r="C1" s="4" t="s">
        <v>467</v>
      </c>
      <c r="D1" s="4" t="s">
        <v>468</v>
      </c>
      <c r="E1" s="4" t="s">
        <v>469</v>
      </c>
      <c r="F1" s="4" t="s">
        <v>470</v>
      </c>
    </row>
    <row r="2" spans="1:6">
      <c r="A2" s="4" t="s">
        <v>13</v>
      </c>
      <c r="B2" s="8" t="s">
        <v>14</v>
      </c>
      <c r="C2" s="4" t="s">
        <v>15</v>
      </c>
      <c r="D2" s="15" t="s">
        <v>15</v>
      </c>
      <c r="E2" s="4" t="s">
        <v>15</v>
      </c>
      <c r="F2" s="4" t="s">
        <v>15</v>
      </c>
    </row>
    <row r="3" spans="1:6">
      <c r="A3" s="4" t="s">
        <v>24</v>
      </c>
      <c r="B3" s="8" t="s">
        <v>14</v>
      </c>
      <c r="C3" s="4" t="s">
        <v>15</v>
      </c>
      <c r="D3" s="15" t="s">
        <v>15</v>
      </c>
      <c r="E3" s="4" t="s">
        <v>15</v>
      </c>
      <c r="F3" s="4" t="s">
        <v>15</v>
      </c>
    </row>
    <row r="4" spans="1:6">
      <c r="A4" s="4" t="s">
        <v>471</v>
      </c>
      <c r="B4" s="8" t="s">
        <v>14</v>
      </c>
      <c r="C4" s="4" t="s">
        <v>472</v>
      </c>
      <c r="D4" s="15" t="s">
        <v>472</v>
      </c>
      <c r="E4" s="4" t="s">
        <v>26</v>
      </c>
      <c r="F4" s="4" t="s">
        <v>26</v>
      </c>
    </row>
    <row r="5" spans="1:6">
      <c r="A5" s="4" t="s">
        <v>35</v>
      </c>
      <c r="B5" s="8" t="s">
        <v>14</v>
      </c>
      <c r="C5" s="4" t="s">
        <v>31</v>
      </c>
      <c r="D5" s="15" t="s">
        <v>31</v>
      </c>
      <c r="E5" s="4" t="s">
        <v>31</v>
      </c>
      <c r="F5" s="4" t="s">
        <v>31</v>
      </c>
    </row>
    <row r="6" spans="1:6">
      <c r="A6" s="4" t="s">
        <v>39</v>
      </c>
      <c r="B6" s="8" t="s">
        <v>14</v>
      </c>
      <c r="C6" s="4" t="s">
        <v>31</v>
      </c>
      <c r="D6" s="15" t="s">
        <v>31</v>
      </c>
      <c r="E6" s="4" t="s">
        <v>15</v>
      </c>
      <c r="F6" s="4" t="s">
        <v>15</v>
      </c>
    </row>
    <row r="7" spans="1:6">
      <c r="A7" s="4" t="s">
        <v>40</v>
      </c>
      <c r="B7" s="8" t="s">
        <v>14</v>
      </c>
      <c r="C7" s="4" t="s">
        <v>473</v>
      </c>
      <c r="D7" s="15" t="s">
        <v>473</v>
      </c>
      <c r="E7" s="4" t="s">
        <v>15</v>
      </c>
      <c r="F7" s="4" t="s">
        <v>15</v>
      </c>
    </row>
    <row r="8" spans="1:6">
      <c r="A8" s="4" t="s">
        <v>474</v>
      </c>
      <c r="B8" s="8" t="s">
        <v>14</v>
      </c>
      <c r="C8" s="4" t="s">
        <v>31</v>
      </c>
      <c r="D8" s="15" t="s">
        <v>31</v>
      </c>
      <c r="E8" s="4" t="s">
        <v>31</v>
      </c>
      <c r="F8" s="4" t="s">
        <v>31</v>
      </c>
    </row>
    <row r="9" spans="1:6">
      <c r="A9" s="4" t="s">
        <v>475</v>
      </c>
      <c r="B9" s="8" t="s">
        <v>14</v>
      </c>
      <c r="C9" s="4" t="s">
        <v>15</v>
      </c>
      <c r="D9" s="15" t="s">
        <v>15</v>
      </c>
      <c r="E9" s="4" t="s">
        <v>15</v>
      </c>
      <c r="F9" s="4" t="s">
        <v>15</v>
      </c>
    </row>
    <row r="10" spans="1:6">
      <c r="A10" s="4" t="s">
        <v>54</v>
      </c>
      <c r="B10" s="8" t="s">
        <v>14</v>
      </c>
      <c r="C10" s="4" t="s">
        <v>31</v>
      </c>
      <c r="D10" s="15" t="s">
        <v>31</v>
      </c>
      <c r="E10" s="4" t="s">
        <v>31</v>
      </c>
      <c r="F10" s="4" t="s">
        <v>31</v>
      </c>
    </row>
    <row r="11" spans="1:6">
      <c r="A11" s="4" t="s">
        <v>476</v>
      </c>
      <c r="B11" s="8" t="s">
        <v>14</v>
      </c>
      <c r="C11" s="4" t="s">
        <v>31</v>
      </c>
      <c r="D11" s="15" t="s">
        <v>31</v>
      </c>
      <c r="E11" s="4" t="s">
        <v>31</v>
      </c>
      <c r="F11" s="4" t="s">
        <v>31</v>
      </c>
    </row>
    <row r="12" spans="1:6">
      <c r="A12" s="4" t="s">
        <v>61</v>
      </c>
      <c r="B12" s="8" t="s">
        <v>14</v>
      </c>
      <c r="C12" s="4" t="s">
        <v>473</v>
      </c>
      <c r="D12" s="15" t="s">
        <v>473</v>
      </c>
      <c r="E12" s="4" t="s">
        <v>31</v>
      </c>
      <c r="F12" s="4" t="s">
        <v>31</v>
      </c>
    </row>
    <row r="13" spans="1:6">
      <c r="A13" s="4" t="s">
        <v>65</v>
      </c>
      <c r="B13" s="8" t="s">
        <v>14</v>
      </c>
      <c r="C13" s="4" t="s">
        <v>473</v>
      </c>
      <c r="D13" s="15" t="s">
        <v>473</v>
      </c>
      <c r="E13" s="4" t="s">
        <v>31</v>
      </c>
      <c r="F13" s="4" t="s">
        <v>31</v>
      </c>
    </row>
    <row r="14" spans="1:6">
      <c r="A14" s="4" t="s">
        <v>477</v>
      </c>
      <c r="B14" s="8" t="s">
        <v>68</v>
      </c>
      <c r="C14" s="4" t="s">
        <v>26</v>
      </c>
      <c r="D14" s="15" t="s">
        <v>26</v>
      </c>
      <c r="E14" s="4" t="s">
        <v>26</v>
      </c>
      <c r="F14" s="4" t="s">
        <v>26</v>
      </c>
    </row>
    <row r="15" spans="1:6">
      <c r="A15" s="4" t="s">
        <v>72</v>
      </c>
      <c r="B15" s="8" t="s">
        <v>68</v>
      </c>
      <c r="C15" s="4" t="s">
        <v>31</v>
      </c>
      <c r="D15" s="15" t="s">
        <v>31</v>
      </c>
      <c r="E15" s="4" t="s">
        <v>26</v>
      </c>
      <c r="F15" s="4" t="s">
        <v>26</v>
      </c>
    </row>
    <row r="16" spans="1:6">
      <c r="A16" s="4" t="s">
        <v>75</v>
      </c>
      <c r="B16" s="8" t="s">
        <v>68</v>
      </c>
      <c r="C16" s="4" t="s">
        <v>26</v>
      </c>
      <c r="D16" s="15" t="s">
        <v>26</v>
      </c>
      <c r="E16" s="4" t="s">
        <v>26</v>
      </c>
      <c r="F16" s="4" t="s">
        <v>26</v>
      </c>
    </row>
    <row r="17" spans="1:6">
      <c r="A17" s="4" t="s">
        <v>478</v>
      </c>
      <c r="B17" s="8" t="s">
        <v>68</v>
      </c>
      <c r="C17" s="4" t="s">
        <v>15</v>
      </c>
      <c r="D17" s="15" t="s">
        <v>15</v>
      </c>
      <c r="E17" s="4" t="s">
        <v>26</v>
      </c>
      <c r="F17" s="4" t="s">
        <v>26</v>
      </c>
    </row>
    <row r="18" spans="1:6">
      <c r="A18" s="4" t="s">
        <v>80</v>
      </c>
      <c r="B18" s="8" t="s">
        <v>68</v>
      </c>
      <c r="C18" s="4" t="s">
        <v>473</v>
      </c>
      <c r="D18" s="15" t="s">
        <v>473</v>
      </c>
      <c r="E18" s="4" t="s">
        <v>31</v>
      </c>
      <c r="F18" s="4" t="s">
        <v>31</v>
      </c>
    </row>
    <row r="19" spans="1:6">
      <c r="A19" s="4" t="s">
        <v>83</v>
      </c>
      <c r="B19" s="8" t="s">
        <v>479</v>
      </c>
      <c r="C19" s="4" t="s">
        <v>26</v>
      </c>
      <c r="D19" s="15" t="s">
        <v>26</v>
      </c>
      <c r="E19" s="4" t="s">
        <v>31</v>
      </c>
      <c r="F19" s="4" t="s">
        <v>31</v>
      </c>
    </row>
    <row r="20" spans="1:6">
      <c r="A20" s="4" t="s">
        <v>396</v>
      </c>
      <c r="B20" s="8" t="s">
        <v>480</v>
      </c>
      <c r="C20" s="4" t="s">
        <v>31</v>
      </c>
      <c r="D20" s="15" t="s">
        <v>31</v>
      </c>
      <c r="E20" s="4" t="s">
        <v>31</v>
      </c>
      <c r="F20" s="4" t="s">
        <v>31</v>
      </c>
    </row>
    <row r="21" spans="1:6">
      <c r="A21" s="4" t="s">
        <v>87</v>
      </c>
      <c r="B21" s="8" t="s">
        <v>88</v>
      </c>
      <c r="C21" s="4" t="s">
        <v>31</v>
      </c>
      <c r="D21" s="15" t="s">
        <v>31</v>
      </c>
      <c r="E21" s="4" t="s">
        <v>15</v>
      </c>
      <c r="F21" s="4" t="s">
        <v>15</v>
      </c>
    </row>
    <row r="22" spans="1:6">
      <c r="A22" s="4" t="s">
        <v>93</v>
      </c>
      <c r="B22" s="8" t="s">
        <v>88</v>
      </c>
      <c r="C22" s="4" t="s">
        <v>31</v>
      </c>
      <c r="D22" s="15" t="s">
        <v>31</v>
      </c>
      <c r="E22" s="4" t="s">
        <v>31</v>
      </c>
      <c r="F22" s="4" t="s">
        <v>31</v>
      </c>
    </row>
    <row r="23" spans="1:6">
      <c r="A23" s="4" t="s">
        <v>96</v>
      </c>
      <c r="B23" s="8" t="s">
        <v>88</v>
      </c>
      <c r="C23" s="4" t="s">
        <v>15</v>
      </c>
      <c r="D23" s="15" t="s">
        <v>15</v>
      </c>
      <c r="E23" s="4" t="s">
        <v>15</v>
      </c>
      <c r="F23" s="4" t="s">
        <v>15</v>
      </c>
    </row>
    <row r="24" spans="1:6">
      <c r="A24" s="4" t="s">
        <v>100</v>
      </c>
      <c r="B24" s="8" t="s">
        <v>88</v>
      </c>
      <c r="C24" s="4" t="s">
        <v>473</v>
      </c>
      <c r="D24" s="15" t="s">
        <v>473</v>
      </c>
      <c r="E24" s="4" t="s">
        <v>31</v>
      </c>
      <c r="F24" s="4" t="s">
        <v>31</v>
      </c>
    </row>
    <row r="25" spans="1:6">
      <c r="A25" s="4" t="s">
        <v>105</v>
      </c>
      <c r="B25" s="8" t="s">
        <v>88</v>
      </c>
      <c r="C25" s="4" t="s">
        <v>15</v>
      </c>
      <c r="D25" s="15" t="s">
        <v>15</v>
      </c>
      <c r="E25" s="4" t="s">
        <v>15</v>
      </c>
      <c r="F25" s="4" t="s">
        <v>15</v>
      </c>
    </row>
    <row r="26" spans="1:6">
      <c r="A26" s="4" t="s">
        <v>481</v>
      </c>
      <c r="B26" s="8" t="s">
        <v>88</v>
      </c>
      <c r="C26" s="4" t="s">
        <v>473</v>
      </c>
      <c r="D26" s="15" t="s">
        <v>473</v>
      </c>
      <c r="E26" s="4" t="s">
        <v>473</v>
      </c>
      <c r="F26" s="4" t="s">
        <v>473</v>
      </c>
    </row>
    <row r="27" spans="1:6">
      <c r="A27" s="4" t="s">
        <v>115</v>
      </c>
      <c r="B27" s="8" t="s">
        <v>88</v>
      </c>
      <c r="C27" s="4" t="s">
        <v>31</v>
      </c>
      <c r="D27" s="15" t="s">
        <v>31</v>
      </c>
      <c r="E27" s="4" t="s">
        <v>31</v>
      </c>
      <c r="F27" s="4" t="s">
        <v>31</v>
      </c>
    </row>
    <row r="28" spans="1:6">
      <c r="A28" s="4" t="s">
        <v>116</v>
      </c>
      <c r="B28" s="8" t="s">
        <v>88</v>
      </c>
      <c r="C28" s="4" t="s">
        <v>31</v>
      </c>
      <c r="D28" s="15" t="s">
        <v>31</v>
      </c>
      <c r="E28" s="4" t="s">
        <v>31</v>
      </c>
      <c r="F28" s="4" t="s">
        <v>31</v>
      </c>
    </row>
    <row r="29" spans="1:6">
      <c r="A29" s="4" t="s">
        <v>120</v>
      </c>
      <c r="B29" s="8" t="s">
        <v>88</v>
      </c>
      <c r="C29" s="4" t="s">
        <v>15</v>
      </c>
      <c r="D29" s="15" t="s">
        <v>15</v>
      </c>
      <c r="E29" s="4" t="s">
        <v>15</v>
      </c>
      <c r="F29" s="4" t="s">
        <v>15</v>
      </c>
    </row>
    <row r="30" spans="1:6">
      <c r="A30" s="4" t="s">
        <v>482</v>
      </c>
      <c r="B30" s="8" t="s">
        <v>88</v>
      </c>
      <c r="C30" s="4" t="s">
        <v>473</v>
      </c>
      <c r="D30" s="15" t="s">
        <v>473</v>
      </c>
      <c r="E30" s="4" t="s">
        <v>15</v>
      </c>
      <c r="F30" s="4" t="s">
        <v>15</v>
      </c>
    </row>
    <row r="31" spans="1:6">
      <c r="A31" s="4" t="s">
        <v>483</v>
      </c>
      <c r="B31" s="8" t="s">
        <v>88</v>
      </c>
      <c r="C31" s="4" t="s">
        <v>473</v>
      </c>
      <c r="D31" s="15" t="s">
        <v>473</v>
      </c>
      <c r="E31" s="4" t="s">
        <v>31</v>
      </c>
      <c r="F31" s="4" t="s">
        <v>31</v>
      </c>
    </row>
    <row r="32" spans="1:6">
      <c r="A32" s="4" t="s">
        <v>132</v>
      </c>
      <c r="B32" s="8" t="s">
        <v>88</v>
      </c>
      <c r="C32" s="4" t="s">
        <v>473</v>
      </c>
      <c r="D32" s="15" t="s">
        <v>473</v>
      </c>
      <c r="E32" s="4" t="s">
        <v>15</v>
      </c>
      <c r="F32" s="4" t="s">
        <v>15</v>
      </c>
    </row>
    <row r="33" spans="1:6">
      <c r="A33" s="4" t="s">
        <v>134</v>
      </c>
      <c r="B33" s="8" t="s">
        <v>88</v>
      </c>
      <c r="C33" s="4" t="s">
        <v>473</v>
      </c>
      <c r="D33" s="15" t="s">
        <v>473</v>
      </c>
      <c r="E33" s="4" t="s">
        <v>31</v>
      </c>
      <c r="F33" s="4" t="s">
        <v>31</v>
      </c>
    </row>
    <row r="34" spans="1:6">
      <c r="A34" s="4" t="s">
        <v>137</v>
      </c>
      <c r="B34" s="8" t="s">
        <v>88</v>
      </c>
      <c r="C34" s="4" t="s">
        <v>473</v>
      </c>
      <c r="D34" s="15" t="s">
        <v>473</v>
      </c>
      <c r="E34" s="4" t="s">
        <v>31</v>
      </c>
      <c r="F34" s="4" t="s">
        <v>31</v>
      </c>
    </row>
    <row r="35" spans="1:6">
      <c r="A35" s="4" t="s">
        <v>142</v>
      </c>
      <c r="B35" s="8" t="s">
        <v>88</v>
      </c>
      <c r="C35" s="4" t="s">
        <v>473</v>
      </c>
      <c r="D35" s="15" t="s">
        <v>473</v>
      </c>
      <c r="E35" s="4" t="s">
        <v>31</v>
      </c>
      <c r="F35" s="4" t="s">
        <v>31</v>
      </c>
    </row>
    <row r="36" spans="1:6">
      <c r="A36" s="4" t="s">
        <v>144</v>
      </c>
      <c r="B36" s="8" t="s">
        <v>88</v>
      </c>
      <c r="C36" s="4" t="s">
        <v>15</v>
      </c>
      <c r="D36" s="15" t="s">
        <v>15</v>
      </c>
      <c r="E36" s="4" t="s">
        <v>15</v>
      </c>
      <c r="F36" s="4" t="s">
        <v>15</v>
      </c>
    </row>
    <row r="37" spans="1:6">
      <c r="A37" s="4" t="s">
        <v>147</v>
      </c>
      <c r="B37" s="8" t="s">
        <v>88</v>
      </c>
      <c r="C37" s="4" t="s">
        <v>473</v>
      </c>
      <c r="D37" s="15" t="s">
        <v>473</v>
      </c>
      <c r="E37" s="4" t="s">
        <v>31</v>
      </c>
      <c r="F37" s="4" t="s">
        <v>31</v>
      </c>
    </row>
    <row r="38" spans="1:6">
      <c r="A38" s="4" t="s">
        <v>151</v>
      </c>
      <c r="B38" s="8" t="s">
        <v>88</v>
      </c>
      <c r="C38" s="4" t="s">
        <v>473</v>
      </c>
      <c r="D38" s="15" t="s">
        <v>473</v>
      </c>
      <c r="E38" s="4" t="s">
        <v>31</v>
      </c>
      <c r="F38" s="4" t="s">
        <v>31</v>
      </c>
    </row>
    <row r="39" spans="1:6">
      <c r="A39" s="4" t="s">
        <v>154</v>
      </c>
      <c r="B39" s="8" t="s">
        <v>88</v>
      </c>
      <c r="C39" s="4" t="s">
        <v>31</v>
      </c>
      <c r="D39" s="15" t="s">
        <v>31</v>
      </c>
      <c r="E39" s="4" t="s">
        <v>31</v>
      </c>
      <c r="F39" s="4" t="s">
        <v>31</v>
      </c>
    </row>
    <row r="40" spans="1:6">
      <c r="A40" s="4" t="s">
        <v>484</v>
      </c>
      <c r="B40" s="8" t="s">
        <v>88</v>
      </c>
      <c r="C40" s="4" t="s">
        <v>31</v>
      </c>
      <c r="D40" s="15" t="s">
        <v>31</v>
      </c>
      <c r="E40" s="4" t="s">
        <v>31</v>
      </c>
      <c r="F40" s="4" t="s">
        <v>31</v>
      </c>
    </row>
    <row r="41" spans="1:6">
      <c r="A41" s="4" t="s">
        <v>162</v>
      </c>
      <c r="B41" s="8" t="s">
        <v>88</v>
      </c>
      <c r="C41" s="4" t="s">
        <v>31</v>
      </c>
      <c r="D41" s="15" t="s">
        <v>31</v>
      </c>
      <c r="E41" s="4" t="s">
        <v>31</v>
      </c>
      <c r="F41" s="4" t="s">
        <v>31</v>
      </c>
    </row>
    <row r="42" spans="1:6">
      <c r="A42" s="4" t="s">
        <v>166</v>
      </c>
      <c r="B42" s="8" t="s">
        <v>88</v>
      </c>
      <c r="C42" s="4" t="s">
        <v>473</v>
      </c>
      <c r="D42" s="15" t="s">
        <v>473</v>
      </c>
      <c r="E42" s="4" t="s">
        <v>31</v>
      </c>
      <c r="F42" s="4" t="s">
        <v>31</v>
      </c>
    </row>
    <row r="43" spans="1:6">
      <c r="A43" s="4" t="s">
        <v>485</v>
      </c>
      <c r="B43" s="8" t="s">
        <v>88</v>
      </c>
      <c r="C43" s="4" t="s">
        <v>15</v>
      </c>
      <c r="D43" s="15" t="s">
        <v>15</v>
      </c>
      <c r="E43" s="4" t="s">
        <v>15</v>
      </c>
      <c r="F43" s="4" t="s">
        <v>31</v>
      </c>
    </row>
    <row r="44" spans="1:6">
      <c r="A44" s="4" t="s">
        <v>486</v>
      </c>
      <c r="B44" s="8" t="s">
        <v>88</v>
      </c>
      <c r="C44" s="4" t="s">
        <v>31</v>
      </c>
      <c r="D44" s="15" t="s">
        <v>31</v>
      </c>
      <c r="E44" s="4" t="s">
        <v>31</v>
      </c>
      <c r="F44" s="4" t="s">
        <v>31</v>
      </c>
    </row>
    <row r="45" spans="1:6">
      <c r="A45" s="4" t="s">
        <v>178</v>
      </c>
      <c r="B45" s="8" t="s">
        <v>88</v>
      </c>
      <c r="C45" s="4" t="s">
        <v>473</v>
      </c>
      <c r="D45" s="15" t="s">
        <v>473</v>
      </c>
      <c r="E45" s="4" t="s">
        <v>31</v>
      </c>
      <c r="F45" s="4" t="s">
        <v>31</v>
      </c>
    </row>
    <row r="46" spans="1:6">
      <c r="A46" s="4" t="s">
        <v>180</v>
      </c>
      <c r="B46" s="8" t="s">
        <v>181</v>
      </c>
      <c r="C46" s="4" t="s">
        <v>473</v>
      </c>
      <c r="D46" s="15" t="s">
        <v>473</v>
      </c>
      <c r="E46" s="4" t="s">
        <v>31</v>
      </c>
      <c r="F46" s="4" t="s">
        <v>31</v>
      </c>
    </row>
    <row r="47" spans="1:6">
      <c r="A47" s="4" t="s">
        <v>186</v>
      </c>
      <c r="B47" s="8" t="s">
        <v>181</v>
      </c>
      <c r="C47" s="4" t="s">
        <v>15</v>
      </c>
      <c r="D47" s="15" t="s">
        <v>15</v>
      </c>
      <c r="E47" s="4" t="s">
        <v>15</v>
      </c>
      <c r="F47" s="4" t="s">
        <v>15</v>
      </c>
    </row>
    <row r="48" spans="1:6">
      <c r="A48" s="4" t="s">
        <v>189</v>
      </c>
      <c r="B48" s="8" t="s">
        <v>181</v>
      </c>
      <c r="C48" s="4" t="s">
        <v>15</v>
      </c>
      <c r="D48" s="15" t="s">
        <v>15</v>
      </c>
      <c r="E48" s="4" t="s">
        <v>15</v>
      </c>
      <c r="F48" s="4" t="s">
        <v>15</v>
      </c>
    </row>
    <row r="49" spans="1:6">
      <c r="A49" s="4" t="s">
        <v>192</v>
      </c>
      <c r="B49" s="8" t="s">
        <v>181</v>
      </c>
      <c r="C49" s="4" t="s">
        <v>473</v>
      </c>
      <c r="D49" s="15" t="s">
        <v>473</v>
      </c>
      <c r="E49" s="4" t="s">
        <v>31</v>
      </c>
      <c r="F49" s="4" t="s">
        <v>31</v>
      </c>
    </row>
    <row r="50" spans="1:6">
      <c r="A50" s="4" t="s">
        <v>194</v>
      </c>
      <c r="B50" s="8" t="s">
        <v>181</v>
      </c>
      <c r="C50" s="4" t="s">
        <v>31</v>
      </c>
      <c r="D50" s="15" t="s">
        <v>31</v>
      </c>
      <c r="E50" s="4" t="s">
        <v>15</v>
      </c>
      <c r="F50" s="4" t="s">
        <v>15</v>
      </c>
    </row>
    <row r="51" spans="1:6">
      <c r="A51" s="4" t="s">
        <v>198</v>
      </c>
      <c r="B51" s="8" t="s">
        <v>181</v>
      </c>
      <c r="C51" s="4" t="s">
        <v>31</v>
      </c>
      <c r="D51" s="15" t="s">
        <v>31</v>
      </c>
      <c r="E51" s="4" t="s">
        <v>15</v>
      </c>
      <c r="F51" s="4" t="s">
        <v>15</v>
      </c>
    </row>
    <row r="52" spans="1:6">
      <c r="A52" s="4" t="s">
        <v>202</v>
      </c>
      <c r="B52" s="8" t="s">
        <v>181</v>
      </c>
      <c r="C52" s="4" t="s">
        <v>31</v>
      </c>
      <c r="D52" s="15" t="s">
        <v>31</v>
      </c>
      <c r="E52" s="4" t="s">
        <v>31</v>
      </c>
      <c r="F52" s="4" t="s">
        <v>31</v>
      </c>
    </row>
    <row r="53" spans="1:6">
      <c r="A53" s="4" t="s">
        <v>206</v>
      </c>
      <c r="B53" s="8" t="s">
        <v>181</v>
      </c>
      <c r="C53" s="4" t="s">
        <v>473</v>
      </c>
      <c r="D53" s="15" t="s">
        <v>473</v>
      </c>
      <c r="E53" s="4" t="s">
        <v>31</v>
      </c>
      <c r="F53" s="4" t="s">
        <v>31</v>
      </c>
    </row>
    <row r="54" spans="1:6">
      <c r="A54" s="4" t="s">
        <v>207</v>
      </c>
      <c r="B54" s="8" t="s">
        <v>181</v>
      </c>
      <c r="C54" s="4" t="s">
        <v>31</v>
      </c>
      <c r="D54" s="15" t="s">
        <v>31</v>
      </c>
      <c r="E54" s="4" t="s">
        <v>31</v>
      </c>
      <c r="F54" s="4" t="s">
        <v>31</v>
      </c>
    </row>
    <row r="55" spans="1:6">
      <c r="A55" s="4" t="s">
        <v>209</v>
      </c>
      <c r="B55" s="8" t="s">
        <v>181</v>
      </c>
      <c r="C55" s="4" t="s">
        <v>31</v>
      </c>
      <c r="D55" s="15" t="s">
        <v>31</v>
      </c>
      <c r="E55" s="4" t="s">
        <v>31</v>
      </c>
      <c r="F55" s="4" t="s">
        <v>31</v>
      </c>
    </row>
    <row r="56" spans="1:6">
      <c r="A56" s="4" t="s">
        <v>213</v>
      </c>
      <c r="B56" s="8" t="s">
        <v>181</v>
      </c>
      <c r="C56" s="4" t="s">
        <v>15</v>
      </c>
      <c r="D56" s="15" t="s">
        <v>15</v>
      </c>
      <c r="E56" s="4" t="s">
        <v>15</v>
      </c>
      <c r="F56" s="4" t="s">
        <v>31</v>
      </c>
    </row>
    <row r="57" spans="1:6">
      <c r="A57" s="4" t="s">
        <v>215</v>
      </c>
      <c r="B57" s="8" t="s">
        <v>181</v>
      </c>
      <c r="C57" s="4" t="s">
        <v>31</v>
      </c>
      <c r="D57" s="15" t="s">
        <v>31</v>
      </c>
      <c r="E57" s="4" t="s">
        <v>31</v>
      </c>
      <c r="F57" s="4" t="s">
        <v>31</v>
      </c>
    </row>
    <row r="58" spans="1:6">
      <c r="A58" s="4" t="s">
        <v>487</v>
      </c>
      <c r="B58" s="8" t="s">
        <v>181</v>
      </c>
      <c r="C58" s="4" t="s">
        <v>473</v>
      </c>
      <c r="D58" s="15" t="s">
        <v>473</v>
      </c>
      <c r="E58" s="4" t="s">
        <v>473</v>
      </c>
      <c r="F58" s="4" t="s">
        <v>473</v>
      </c>
    </row>
    <row r="59" spans="1:6">
      <c r="A59" s="4" t="s">
        <v>488</v>
      </c>
      <c r="B59" s="8" t="s">
        <v>181</v>
      </c>
      <c r="C59" s="4" t="s">
        <v>15</v>
      </c>
      <c r="D59" s="15" t="s">
        <v>15</v>
      </c>
      <c r="E59" s="4" t="s">
        <v>15</v>
      </c>
      <c r="F59" s="4" t="s">
        <v>15</v>
      </c>
    </row>
    <row r="60" spans="1:6">
      <c r="A60" s="4" t="s">
        <v>219</v>
      </c>
      <c r="B60" s="8" t="s">
        <v>181</v>
      </c>
      <c r="C60" s="4" t="s">
        <v>473</v>
      </c>
      <c r="D60" s="15" t="s">
        <v>473</v>
      </c>
      <c r="E60" s="4" t="s">
        <v>31</v>
      </c>
      <c r="F60" s="4" t="s">
        <v>31</v>
      </c>
    </row>
    <row r="61" spans="1:6">
      <c r="A61" s="4" t="s">
        <v>226</v>
      </c>
      <c r="B61" s="8" t="s">
        <v>181</v>
      </c>
      <c r="C61" s="4" t="s">
        <v>473</v>
      </c>
      <c r="D61" s="15" t="s">
        <v>473</v>
      </c>
      <c r="E61" s="4" t="s">
        <v>31</v>
      </c>
      <c r="F61" s="4" t="s">
        <v>31</v>
      </c>
    </row>
    <row r="62" spans="1:6">
      <c r="A62" s="4" t="s">
        <v>227</v>
      </c>
      <c r="B62" s="8" t="s">
        <v>181</v>
      </c>
      <c r="C62" s="4" t="s">
        <v>31</v>
      </c>
      <c r="D62" s="15" t="s">
        <v>31</v>
      </c>
      <c r="E62" s="4" t="s">
        <v>31</v>
      </c>
      <c r="F62" s="4" t="s">
        <v>31</v>
      </c>
    </row>
    <row r="63" spans="1:6">
      <c r="A63" s="4" t="s">
        <v>230</v>
      </c>
      <c r="B63" s="8" t="s">
        <v>181</v>
      </c>
      <c r="C63" s="4" t="s">
        <v>473</v>
      </c>
      <c r="D63" s="15" t="s">
        <v>473</v>
      </c>
      <c r="E63" s="4" t="s">
        <v>31</v>
      </c>
      <c r="F63" s="4" t="s">
        <v>31</v>
      </c>
    </row>
    <row r="64" spans="1:6">
      <c r="A64" s="4" t="s">
        <v>233</v>
      </c>
      <c r="B64" s="8" t="s">
        <v>181</v>
      </c>
      <c r="C64" s="4" t="s">
        <v>15</v>
      </c>
      <c r="D64" s="15" t="s">
        <v>15</v>
      </c>
      <c r="E64" s="4" t="s">
        <v>15</v>
      </c>
      <c r="F64" s="4" t="s">
        <v>15</v>
      </c>
    </row>
    <row r="65" spans="1:6">
      <c r="A65" s="4" t="s">
        <v>236</v>
      </c>
      <c r="B65" s="8" t="s">
        <v>181</v>
      </c>
      <c r="C65" s="4" t="s">
        <v>31</v>
      </c>
      <c r="D65" s="15" t="s">
        <v>31</v>
      </c>
      <c r="E65" s="4" t="s">
        <v>15</v>
      </c>
      <c r="F65" s="4" t="s">
        <v>31</v>
      </c>
    </row>
    <row r="66" spans="1:6">
      <c r="A66" s="4" t="s">
        <v>489</v>
      </c>
      <c r="B66" s="8" t="s">
        <v>181</v>
      </c>
      <c r="C66" s="4" t="s">
        <v>15</v>
      </c>
      <c r="D66" s="15" t="s">
        <v>15</v>
      </c>
      <c r="E66" s="4" t="s">
        <v>15</v>
      </c>
      <c r="F66" s="4" t="s">
        <v>15</v>
      </c>
    </row>
    <row r="67" spans="1:6">
      <c r="A67" s="4" t="s">
        <v>243</v>
      </c>
      <c r="B67" s="8" t="s">
        <v>181</v>
      </c>
      <c r="C67" s="4" t="s">
        <v>15</v>
      </c>
      <c r="D67" s="15" t="s">
        <v>15</v>
      </c>
      <c r="E67" s="4" t="s">
        <v>15</v>
      </c>
      <c r="F67" s="4" t="s">
        <v>15</v>
      </c>
    </row>
    <row r="68" spans="1:6">
      <c r="A68" s="4" t="s">
        <v>246</v>
      </c>
      <c r="B68" s="8" t="s">
        <v>181</v>
      </c>
      <c r="C68" s="4" t="s">
        <v>15</v>
      </c>
      <c r="D68" s="15" t="s">
        <v>15</v>
      </c>
      <c r="E68" s="4" t="s">
        <v>15</v>
      </c>
      <c r="F68" s="4" t="s">
        <v>31</v>
      </c>
    </row>
    <row r="69" spans="1:6">
      <c r="A69" s="4" t="s">
        <v>248</v>
      </c>
      <c r="B69" s="8" t="s">
        <v>181</v>
      </c>
      <c r="C69" s="4" t="s">
        <v>15</v>
      </c>
      <c r="D69" s="15" t="s">
        <v>15</v>
      </c>
      <c r="E69" s="4" t="s">
        <v>15</v>
      </c>
      <c r="F69" s="4" t="s">
        <v>15</v>
      </c>
    </row>
    <row r="70" spans="1:6">
      <c r="A70" s="4" t="s">
        <v>250</v>
      </c>
      <c r="B70" s="8" t="s">
        <v>181</v>
      </c>
      <c r="C70" s="4" t="s">
        <v>31</v>
      </c>
      <c r="D70" s="15" t="s">
        <v>31</v>
      </c>
      <c r="E70" s="4" t="s">
        <v>15</v>
      </c>
      <c r="F70" s="4" t="s">
        <v>15</v>
      </c>
    </row>
    <row r="71" spans="1:6">
      <c r="A71" s="4" t="s">
        <v>252</v>
      </c>
      <c r="B71" s="8" t="s">
        <v>181</v>
      </c>
      <c r="C71" s="4" t="s">
        <v>15</v>
      </c>
      <c r="D71" s="15" t="s">
        <v>15</v>
      </c>
      <c r="E71" s="4" t="s">
        <v>15</v>
      </c>
      <c r="F71" s="4" t="s">
        <v>26</v>
      </c>
    </row>
    <row r="72" spans="1:6">
      <c r="A72" s="4" t="s">
        <v>258</v>
      </c>
      <c r="B72" s="8" t="s">
        <v>181</v>
      </c>
      <c r="C72" s="4" t="s">
        <v>31</v>
      </c>
      <c r="D72" s="15" t="s">
        <v>31</v>
      </c>
      <c r="E72" s="4" t="s">
        <v>31</v>
      </c>
      <c r="F72" s="4" t="s">
        <v>31</v>
      </c>
    </row>
    <row r="73" spans="1:6">
      <c r="A73" s="4" t="s">
        <v>259</v>
      </c>
      <c r="B73" s="8" t="s">
        <v>181</v>
      </c>
      <c r="C73" s="4" t="s">
        <v>31</v>
      </c>
      <c r="D73" s="15" t="s">
        <v>31</v>
      </c>
      <c r="E73" s="4" t="s">
        <v>15</v>
      </c>
      <c r="F73" s="4" t="s">
        <v>15</v>
      </c>
    </row>
    <row r="74" spans="1:6">
      <c r="A74" s="4" t="s">
        <v>262</v>
      </c>
      <c r="B74" s="8" t="s">
        <v>181</v>
      </c>
      <c r="C74" s="4" t="s">
        <v>31</v>
      </c>
      <c r="D74" s="15" t="s">
        <v>31</v>
      </c>
      <c r="E74" s="4" t="s">
        <v>31</v>
      </c>
      <c r="F74" s="4" t="s">
        <v>31</v>
      </c>
    </row>
    <row r="75" spans="1:6">
      <c r="A75" s="4" t="s">
        <v>264</v>
      </c>
      <c r="B75" s="8" t="s">
        <v>181</v>
      </c>
      <c r="C75" s="4" t="s">
        <v>473</v>
      </c>
      <c r="D75" s="15" t="s">
        <v>473</v>
      </c>
      <c r="E75" s="4" t="s">
        <v>31</v>
      </c>
      <c r="F75" s="4" t="s">
        <v>31</v>
      </c>
    </row>
    <row r="76" spans="1:6">
      <c r="A76" s="4" t="s">
        <v>490</v>
      </c>
      <c r="B76" s="8" t="s">
        <v>181</v>
      </c>
      <c r="C76" s="4" t="s">
        <v>473</v>
      </c>
      <c r="D76" s="15" t="s">
        <v>31</v>
      </c>
      <c r="E76" s="4" t="s">
        <v>26</v>
      </c>
      <c r="F76" s="4" t="s">
        <v>26</v>
      </c>
    </row>
    <row r="77" spans="1:6">
      <c r="A77" s="4" t="s">
        <v>270</v>
      </c>
      <c r="B77" s="8" t="s">
        <v>181</v>
      </c>
      <c r="C77" s="4" t="s">
        <v>15</v>
      </c>
      <c r="D77" s="15" t="s">
        <v>473</v>
      </c>
      <c r="E77" s="4" t="s">
        <v>31</v>
      </c>
      <c r="F77" s="4" t="s">
        <v>31</v>
      </c>
    </row>
    <row r="78" spans="1:6">
      <c r="A78" s="4" t="s">
        <v>273</v>
      </c>
      <c r="B78" s="8" t="s">
        <v>181</v>
      </c>
      <c r="C78" s="4" t="s">
        <v>31</v>
      </c>
      <c r="D78" s="15" t="s">
        <v>15</v>
      </c>
      <c r="E78" s="4" t="s">
        <v>15</v>
      </c>
      <c r="F78" s="4" t="s">
        <v>15</v>
      </c>
    </row>
    <row r="79" spans="1:6">
      <c r="A79" s="4" t="s">
        <v>276</v>
      </c>
      <c r="B79" s="8" t="s">
        <v>181</v>
      </c>
      <c r="C79" s="4" t="s">
        <v>31</v>
      </c>
      <c r="D79" s="15" t="s">
        <v>31</v>
      </c>
      <c r="E79" s="4" t="s">
        <v>31</v>
      </c>
      <c r="F79" s="4" t="s">
        <v>31</v>
      </c>
    </row>
    <row r="80" spans="1:6">
      <c r="A80" s="4" t="s">
        <v>278</v>
      </c>
      <c r="B80" s="8" t="s">
        <v>181</v>
      </c>
      <c r="C80" s="4" t="s">
        <v>31</v>
      </c>
      <c r="D80" s="15" t="s">
        <v>31</v>
      </c>
      <c r="E80" s="4" t="s">
        <v>31</v>
      </c>
      <c r="F80" s="4" t="s">
        <v>15</v>
      </c>
    </row>
    <row r="81" spans="1:6">
      <c r="A81" s="4" t="s">
        <v>491</v>
      </c>
      <c r="B81" s="8" t="s">
        <v>181</v>
      </c>
      <c r="C81" s="4" t="s">
        <v>15</v>
      </c>
      <c r="D81" s="15" t="s">
        <v>31</v>
      </c>
      <c r="E81" s="4" t="s">
        <v>31</v>
      </c>
      <c r="F81" s="4" t="s">
        <v>31</v>
      </c>
    </row>
    <row r="82" spans="1:6">
      <c r="A82" s="4" t="s">
        <v>285</v>
      </c>
      <c r="B82" s="8" t="s">
        <v>181</v>
      </c>
      <c r="C82" s="4" t="s">
        <v>31</v>
      </c>
      <c r="D82" s="15" t="s">
        <v>15</v>
      </c>
      <c r="E82" s="4" t="s">
        <v>15</v>
      </c>
      <c r="F82" s="4" t="s">
        <v>15</v>
      </c>
    </row>
    <row r="83" spans="1:6">
      <c r="A83" s="4" t="s">
        <v>289</v>
      </c>
      <c r="B83" s="8" t="s">
        <v>181</v>
      </c>
      <c r="C83" s="4" t="s">
        <v>15</v>
      </c>
      <c r="D83" s="15" t="s">
        <v>31</v>
      </c>
      <c r="E83" s="4" t="s">
        <v>15</v>
      </c>
      <c r="F83" s="4" t="s">
        <v>31</v>
      </c>
    </row>
    <row r="84" spans="1:6">
      <c r="A84" s="4" t="s">
        <v>294</v>
      </c>
      <c r="B84" s="8" t="s">
        <v>181</v>
      </c>
      <c r="C84" s="4" t="s">
        <v>15</v>
      </c>
      <c r="D84" s="15" t="s">
        <v>15</v>
      </c>
      <c r="E84" s="4" t="s">
        <v>15</v>
      </c>
      <c r="F84" s="4" t="s">
        <v>31</v>
      </c>
    </row>
    <row r="85" spans="1:6">
      <c r="A85" s="4" t="s">
        <v>298</v>
      </c>
      <c r="B85" s="8" t="s">
        <v>181</v>
      </c>
      <c r="C85" s="4" t="s">
        <v>15</v>
      </c>
      <c r="D85" s="15" t="s">
        <v>15</v>
      </c>
      <c r="E85" s="4" t="s">
        <v>26</v>
      </c>
      <c r="F85" s="4" t="s">
        <v>26</v>
      </c>
    </row>
    <row r="86" spans="1:6">
      <c r="A86" s="4" t="s">
        <v>301</v>
      </c>
      <c r="B86" s="8" t="s">
        <v>181</v>
      </c>
      <c r="C86" s="4" t="s">
        <v>31</v>
      </c>
      <c r="D86" s="15" t="s">
        <v>15</v>
      </c>
      <c r="E86" s="4" t="s">
        <v>31</v>
      </c>
      <c r="F86" s="4" t="s">
        <v>31</v>
      </c>
    </row>
    <row r="87" spans="1:6">
      <c r="A87" s="4" t="s">
        <v>303</v>
      </c>
      <c r="B87" s="8" t="s">
        <v>181</v>
      </c>
      <c r="C87" s="4" t="s">
        <v>31</v>
      </c>
      <c r="D87" s="15" t="s">
        <v>31</v>
      </c>
      <c r="E87" s="4" t="s">
        <v>31</v>
      </c>
      <c r="F87" s="4" t="s">
        <v>31</v>
      </c>
    </row>
    <row r="88" spans="1:6">
      <c r="A88" s="4" t="s">
        <v>304</v>
      </c>
      <c r="B88" s="8" t="s">
        <v>305</v>
      </c>
      <c r="C88" s="4" t="s">
        <v>15</v>
      </c>
      <c r="D88" s="15" t="s">
        <v>15</v>
      </c>
      <c r="E88" s="4" t="s">
        <v>31</v>
      </c>
      <c r="F88" s="4" t="s">
        <v>31</v>
      </c>
    </row>
    <row r="89" spans="1:6">
      <c r="A89" s="4" t="s">
        <v>309</v>
      </c>
      <c r="B89" s="8" t="s">
        <v>305</v>
      </c>
      <c r="C89" s="4" t="s">
        <v>15</v>
      </c>
      <c r="D89" s="15" t="s">
        <v>15</v>
      </c>
      <c r="E89" s="4" t="s">
        <v>15</v>
      </c>
      <c r="F89" s="4" t="s">
        <v>15</v>
      </c>
    </row>
    <row r="90" spans="1:6">
      <c r="A90" s="4" t="s">
        <v>314</v>
      </c>
      <c r="B90" s="8" t="s">
        <v>305</v>
      </c>
      <c r="C90" s="4" t="s">
        <v>31</v>
      </c>
      <c r="D90" s="15" t="s">
        <v>31</v>
      </c>
      <c r="E90" s="4" t="s">
        <v>31</v>
      </c>
      <c r="F90" s="4" t="s">
        <v>31</v>
      </c>
    </row>
    <row r="91" spans="1:6">
      <c r="A91" s="4" t="s">
        <v>317</v>
      </c>
      <c r="B91" s="8" t="s">
        <v>305</v>
      </c>
      <c r="C91" s="4" t="s">
        <v>473</v>
      </c>
      <c r="D91" s="15" t="s">
        <v>473</v>
      </c>
      <c r="E91" s="4" t="s">
        <v>15</v>
      </c>
      <c r="F91" s="4" t="s">
        <v>15</v>
      </c>
    </row>
    <row r="92" spans="1:6">
      <c r="A92" s="4" t="s">
        <v>320</v>
      </c>
      <c r="B92" s="8" t="s">
        <v>305</v>
      </c>
      <c r="C92" s="4" t="s">
        <v>15</v>
      </c>
      <c r="D92" s="15" t="s">
        <v>15</v>
      </c>
      <c r="E92" s="4" t="s">
        <v>15</v>
      </c>
      <c r="F92" s="4" t="s">
        <v>15</v>
      </c>
    </row>
    <row r="93" spans="1:6">
      <c r="A93" s="4" t="s">
        <v>324</v>
      </c>
      <c r="B93" s="8" t="s">
        <v>305</v>
      </c>
      <c r="C93" s="4" t="s">
        <v>31</v>
      </c>
      <c r="D93" s="15" t="s">
        <v>31</v>
      </c>
      <c r="E93" s="4" t="s">
        <v>31</v>
      </c>
      <c r="F93" s="4" t="s">
        <v>31</v>
      </c>
    </row>
    <row r="94" spans="1:6">
      <c r="A94" s="4" t="s">
        <v>328</v>
      </c>
      <c r="B94" s="8" t="s">
        <v>305</v>
      </c>
      <c r="C94" s="4" t="s">
        <v>31</v>
      </c>
      <c r="D94" s="15" t="s">
        <v>31</v>
      </c>
      <c r="E94" s="4" t="s">
        <v>31</v>
      </c>
      <c r="F94" s="4" t="s">
        <v>31</v>
      </c>
    </row>
    <row r="95" spans="1:6">
      <c r="A95" s="4" t="s">
        <v>330</v>
      </c>
      <c r="B95" s="8" t="s">
        <v>305</v>
      </c>
      <c r="C95" s="4" t="s">
        <v>31</v>
      </c>
      <c r="D95" s="15" t="s">
        <v>31</v>
      </c>
      <c r="E95" s="4" t="s">
        <v>31</v>
      </c>
      <c r="F95" s="4" t="s">
        <v>31</v>
      </c>
    </row>
    <row r="96" spans="1:6">
      <c r="A96" s="4" t="s">
        <v>333</v>
      </c>
      <c r="B96" s="8" t="s">
        <v>305</v>
      </c>
      <c r="C96" s="4" t="s">
        <v>15</v>
      </c>
      <c r="D96" s="15" t="s">
        <v>15</v>
      </c>
      <c r="E96" s="4" t="s">
        <v>15</v>
      </c>
      <c r="F96" s="4" t="s">
        <v>15</v>
      </c>
    </row>
    <row r="97" spans="1:6">
      <c r="A97" s="4" t="s">
        <v>336</v>
      </c>
      <c r="B97" s="8" t="s">
        <v>305</v>
      </c>
      <c r="C97" s="4" t="s">
        <v>31</v>
      </c>
      <c r="D97" s="15" t="s">
        <v>31</v>
      </c>
      <c r="E97" s="4" t="s">
        <v>31</v>
      </c>
      <c r="F97" s="4" t="s">
        <v>31</v>
      </c>
    </row>
    <row r="98" spans="1:6">
      <c r="A98" s="4" t="s">
        <v>338</v>
      </c>
      <c r="B98" s="8" t="s">
        <v>305</v>
      </c>
      <c r="C98" s="4" t="s">
        <v>31</v>
      </c>
      <c r="D98" s="15" t="s">
        <v>31</v>
      </c>
      <c r="E98" s="4" t="s">
        <v>15</v>
      </c>
      <c r="F98" s="4" t="s">
        <v>15</v>
      </c>
    </row>
    <row r="99" spans="1:6">
      <c r="A99" s="4" t="s">
        <v>341</v>
      </c>
      <c r="B99" s="8" t="s">
        <v>305</v>
      </c>
      <c r="C99" s="4" t="s">
        <v>473</v>
      </c>
      <c r="D99" s="15" t="s">
        <v>473</v>
      </c>
      <c r="E99" s="4" t="s">
        <v>15</v>
      </c>
      <c r="F99" s="4" t="s">
        <v>15</v>
      </c>
    </row>
    <row r="100" spans="1:6">
      <c r="A100" s="4" t="s">
        <v>345</v>
      </c>
      <c r="B100" s="8" t="s">
        <v>305</v>
      </c>
      <c r="C100" s="4" t="s">
        <v>473</v>
      </c>
      <c r="D100" s="15" t="s">
        <v>473</v>
      </c>
      <c r="E100" s="4" t="s">
        <v>31</v>
      </c>
      <c r="F100" s="4" t="s">
        <v>31</v>
      </c>
    </row>
    <row r="101" spans="1:6">
      <c r="A101" s="4" t="s">
        <v>347</v>
      </c>
      <c r="B101" s="8" t="s">
        <v>305</v>
      </c>
      <c r="C101" s="4" t="s">
        <v>473</v>
      </c>
      <c r="D101" s="15" t="s">
        <v>473</v>
      </c>
      <c r="E101" s="4" t="s">
        <v>31</v>
      </c>
      <c r="F101" s="4" t="s">
        <v>31</v>
      </c>
    </row>
    <row r="102" spans="1:6">
      <c r="A102" s="4" t="s">
        <v>352</v>
      </c>
      <c r="B102" s="8" t="s">
        <v>305</v>
      </c>
      <c r="C102" s="4" t="s">
        <v>31</v>
      </c>
      <c r="D102" s="15" t="s">
        <v>31</v>
      </c>
      <c r="E102" s="4" t="s">
        <v>31</v>
      </c>
      <c r="F102" s="4" t="s">
        <v>31</v>
      </c>
    </row>
    <row r="103" spans="1:6">
      <c r="A103" s="4" t="s">
        <v>492</v>
      </c>
      <c r="B103" s="8" t="s">
        <v>305</v>
      </c>
      <c r="C103" s="4" t="s">
        <v>31</v>
      </c>
      <c r="D103" s="15" t="s">
        <v>31</v>
      </c>
      <c r="E103" s="4" t="s">
        <v>31</v>
      </c>
      <c r="F103" s="4" t="s">
        <v>31</v>
      </c>
    </row>
    <row r="104" spans="1:6">
      <c r="A104" s="4" t="s">
        <v>357</v>
      </c>
      <c r="B104" s="8" t="s">
        <v>305</v>
      </c>
      <c r="C104" s="4" t="s">
        <v>473</v>
      </c>
      <c r="D104" s="15" t="s">
        <v>473</v>
      </c>
      <c r="E104" s="4" t="s">
        <v>31</v>
      </c>
      <c r="F104" s="4" t="s">
        <v>31</v>
      </c>
    </row>
    <row r="105" spans="1:6">
      <c r="A105" s="4" t="s">
        <v>361</v>
      </c>
      <c r="B105" s="8" t="s">
        <v>305</v>
      </c>
      <c r="C105" s="4" t="s">
        <v>15</v>
      </c>
      <c r="D105" s="15" t="s">
        <v>15</v>
      </c>
      <c r="E105" s="4" t="s">
        <v>15</v>
      </c>
      <c r="F105" s="4" t="s">
        <v>15</v>
      </c>
    </row>
    <row r="106" spans="1:6">
      <c r="A106" s="4" t="s">
        <v>364</v>
      </c>
      <c r="B106" s="8" t="s">
        <v>305</v>
      </c>
      <c r="C106" s="4" t="s">
        <v>15</v>
      </c>
      <c r="D106" s="15" t="s">
        <v>15</v>
      </c>
      <c r="E106" s="4" t="s">
        <v>15</v>
      </c>
      <c r="F106" s="4" t="s">
        <v>15</v>
      </c>
    </row>
    <row r="107" spans="1:6">
      <c r="A107" s="4" t="s">
        <v>368</v>
      </c>
      <c r="B107" s="8" t="s">
        <v>305</v>
      </c>
      <c r="C107" s="4" t="s">
        <v>473</v>
      </c>
      <c r="D107" s="15" t="s">
        <v>473</v>
      </c>
      <c r="E107" s="4" t="s">
        <v>31</v>
      </c>
      <c r="F107" s="4" t="s">
        <v>31</v>
      </c>
    </row>
    <row r="108" spans="1:6">
      <c r="A108" s="4" t="s">
        <v>369</v>
      </c>
      <c r="B108" s="8" t="s">
        <v>305</v>
      </c>
      <c r="C108" s="4" t="s">
        <v>31</v>
      </c>
      <c r="D108" s="15" t="s">
        <v>31</v>
      </c>
      <c r="E108" s="4" t="s">
        <v>31</v>
      </c>
      <c r="F108" s="4" t="s">
        <v>31</v>
      </c>
    </row>
    <row r="109" spans="1:6">
      <c r="A109" s="4" t="s">
        <v>372</v>
      </c>
      <c r="B109" s="8" t="s">
        <v>305</v>
      </c>
      <c r="C109" s="4" t="s">
        <v>31</v>
      </c>
      <c r="D109" s="15" t="s">
        <v>31</v>
      </c>
      <c r="E109" s="4" t="s">
        <v>31</v>
      </c>
      <c r="F109" s="4" t="s">
        <v>31</v>
      </c>
    </row>
    <row r="110" spans="1:6">
      <c r="A110" s="4" t="s">
        <v>375</v>
      </c>
      <c r="B110" s="8" t="s">
        <v>305</v>
      </c>
      <c r="C110" s="4" t="s">
        <v>473</v>
      </c>
      <c r="D110" s="15" t="s">
        <v>473</v>
      </c>
      <c r="E110" s="4" t="s">
        <v>31</v>
      </c>
      <c r="F110" s="4" t="s">
        <v>31</v>
      </c>
    </row>
    <row r="111" spans="1:6">
      <c r="A111" s="4" t="s">
        <v>378</v>
      </c>
      <c r="B111" s="8" t="s">
        <v>305</v>
      </c>
      <c r="C111" s="4" t="s">
        <v>473</v>
      </c>
      <c r="D111" s="15" t="s">
        <v>473</v>
      </c>
      <c r="E111" s="4" t="s">
        <v>31</v>
      </c>
      <c r="F111" s="4" t="s">
        <v>31</v>
      </c>
    </row>
    <row r="112" spans="1:6">
      <c r="A112" s="4" t="s">
        <v>382</v>
      </c>
      <c r="B112" s="8" t="s">
        <v>305</v>
      </c>
      <c r="C112" s="4" t="s">
        <v>31</v>
      </c>
      <c r="D112" s="15" t="s">
        <v>31</v>
      </c>
      <c r="E112" s="4" t="s">
        <v>31</v>
      </c>
      <c r="F112" s="4" t="s">
        <v>31</v>
      </c>
    </row>
    <row r="113" spans="1:6">
      <c r="A113" s="4" t="s">
        <v>384</v>
      </c>
      <c r="B113" s="8" t="s">
        <v>305</v>
      </c>
      <c r="C113" s="4" t="s">
        <v>31</v>
      </c>
      <c r="D113" s="15" t="s">
        <v>31</v>
      </c>
      <c r="E113" s="4" t="s">
        <v>31</v>
      </c>
      <c r="F113" s="4" t="s">
        <v>31</v>
      </c>
    </row>
    <row r="114" spans="1:6">
      <c r="A114" s="4" t="s">
        <v>386</v>
      </c>
      <c r="B114" s="8" t="s">
        <v>305</v>
      </c>
      <c r="C114" s="4" t="s">
        <v>473</v>
      </c>
      <c r="D114" s="15" t="s">
        <v>473</v>
      </c>
      <c r="E114" s="4" t="s">
        <v>31</v>
      </c>
      <c r="F114" s="4" t="s">
        <v>31</v>
      </c>
    </row>
    <row r="115" spans="1:6">
      <c r="A115" s="4" t="s">
        <v>389</v>
      </c>
      <c r="B115" s="8" t="s">
        <v>305</v>
      </c>
      <c r="C115" s="4" t="s">
        <v>31</v>
      </c>
      <c r="D115" s="15" t="s">
        <v>31</v>
      </c>
      <c r="E115" s="4" t="s">
        <v>31</v>
      </c>
      <c r="F115" s="4" t="s">
        <v>31</v>
      </c>
    </row>
    <row r="116" spans="1:6">
      <c r="A116" s="4" t="s">
        <v>493</v>
      </c>
      <c r="B116" s="8" t="s">
        <v>305</v>
      </c>
      <c r="C116" s="4" t="s">
        <v>31</v>
      </c>
      <c r="D116" s="15" t="s">
        <v>31</v>
      </c>
      <c r="E116" s="4" t="s">
        <v>31</v>
      </c>
      <c r="F116" s="4" t="s">
        <v>31</v>
      </c>
    </row>
    <row r="117" spans="1:6">
      <c r="A117" s="4" t="s">
        <v>394</v>
      </c>
      <c r="B117" s="8" t="s">
        <v>305</v>
      </c>
      <c r="C117" s="4" t="s">
        <v>31</v>
      </c>
      <c r="D117" s="15" t="s">
        <v>31</v>
      </c>
      <c r="E117" s="4" t="s">
        <v>31</v>
      </c>
      <c r="F117" s="4" t="s">
        <v>31</v>
      </c>
    </row>
    <row r="118" spans="1:6">
      <c r="A118" s="4" t="s">
        <v>399</v>
      </c>
      <c r="B118" s="8" t="s">
        <v>305</v>
      </c>
      <c r="C118" s="4" t="s">
        <v>473</v>
      </c>
      <c r="D118" s="15" t="s">
        <v>473</v>
      </c>
      <c r="E118" s="4" t="s">
        <v>31</v>
      </c>
      <c r="F118" s="4" t="s">
        <v>31</v>
      </c>
    </row>
    <row r="119" spans="1:6">
      <c r="A119" s="4" t="s">
        <v>402</v>
      </c>
      <c r="B119" s="8" t="s">
        <v>305</v>
      </c>
      <c r="C119" s="4" t="s">
        <v>473</v>
      </c>
      <c r="D119" s="15" t="s">
        <v>473</v>
      </c>
      <c r="E119" s="4" t="s">
        <v>31</v>
      </c>
      <c r="F119" s="4" t="s">
        <v>31</v>
      </c>
    </row>
    <row r="120" spans="1:6">
      <c r="A120" s="4" t="s">
        <v>404</v>
      </c>
      <c r="B120" s="8" t="s">
        <v>305</v>
      </c>
      <c r="C120" s="4" t="s">
        <v>473</v>
      </c>
      <c r="D120" s="15" t="s">
        <v>473</v>
      </c>
      <c r="E120" s="4" t="s">
        <v>15</v>
      </c>
      <c r="F120" s="4" t="s">
        <v>15</v>
      </c>
    </row>
    <row r="121" spans="1:6">
      <c r="A121" s="4" t="s">
        <v>406</v>
      </c>
      <c r="B121" s="8" t="s">
        <v>305</v>
      </c>
      <c r="C121" s="4" t="s">
        <v>473</v>
      </c>
      <c r="D121" s="15" t="s">
        <v>473</v>
      </c>
      <c r="E121" s="4" t="s">
        <v>31</v>
      </c>
      <c r="F121" s="4" t="s">
        <v>31</v>
      </c>
    </row>
    <row r="122" spans="1:6">
      <c r="A122" s="4" t="s">
        <v>408</v>
      </c>
      <c r="B122" s="8" t="s">
        <v>305</v>
      </c>
      <c r="C122" s="4" t="s">
        <v>473</v>
      </c>
      <c r="D122" s="15" t="s">
        <v>473</v>
      </c>
      <c r="E122" s="4" t="s">
        <v>31</v>
      </c>
      <c r="F122" s="4" t="s">
        <v>31</v>
      </c>
    </row>
    <row r="123" spans="1:6">
      <c r="A123" s="4" t="s">
        <v>410</v>
      </c>
      <c r="B123" s="8" t="s">
        <v>305</v>
      </c>
      <c r="C123" s="4" t="s">
        <v>15</v>
      </c>
      <c r="D123" s="15" t="s">
        <v>15</v>
      </c>
      <c r="E123" s="4" t="s">
        <v>15</v>
      </c>
      <c r="F123" s="4" t="s">
        <v>15</v>
      </c>
    </row>
    <row r="124" spans="1:6">
      <c r="A124" s="4" t="s">
        <v>412</v>
      </c>
      <c r="B124" s="8" t="s">
        <v>305</v>
      </c>
      <c r="C124" s="4" t="s">
        <v>31</v>
      </c>
      <c r="D124" s="15" t="s">
        <v>31</v>
      </c>
      <c r="E124" s="4" t="s">
        <v>15</v>
      </c>
      <c r="F124" s="4" t="s">
        <v>15</v>
      </c>
    </row>
    <row r="125" spans="1:6">
      <c r="A125" s="4" t="s">
        <v>414</v>
      </c>
      <c r="B125" s="8" t="s">
        <v>305</v>
      </c>
      <c r="C125" s="4" t="s">
        <v>473</v>
      </c>
      <c r="D125" s="15" t="s">
        <v>473</v>
      </c>
      <c r="E125" s="4" t="s">
        <v>31</v>
      </c>
      <c r="F125" s="4" t="s">
        <v>31</v>
      </c>
    </row>
    <row r="126" spans="1:6">
      <c r="A126" s="4" t="s">
        <v>417</v>
      </c>
      <c r="B126" s="8" t="s">
        <v>305</v>
      </c>
      <c r="C126" s="4" t="s">
        <v>31</v>
      </c>
      <c r="D126" s="15" t="s">
        <v>31</v>
      </c>
      <c r="E126" s="4" t="s">
        <v>15</v>
      </c>
      <c r="F126" s="4" t="s">
        <v>15</v>
      </c>
    </row>
    <row r="127" spans="1:6">
      <c r="A127" s="4" t="s">
        <v>420</v>
      </c>
      <c r="B127" s="8" t="s">
        <v>305</v>
      </c>
      <c r="C127" s="4" t="s">
        <v>31</v>
      </c>
      <c r="D127" s="15" t="s">
        <v>31</v>
      </c>
      <c r="E127" s="4" t="s">
        <v>31</v>
      </c>
      <c r="F127" s="4" t="s">
        <v>31</v>
      </c>
    </row>
    <row r="128" spans="1:6">
      <c r="A128" s="4" t="s">
        <v>423</v>
      </c>
      <c r="B128" s="8" t="s">
        <v>305</v>
      </c>
      <c r="C128" s="4" t="s">
        <v>15</v>
      </c>
      <c r="D128" s="15" t="s">
        <v>15</v>
      </c>
      <c r="E128" s="4" t="s">
        <v>15</v>
      </c>
      <c r="F128" s="4" t="s">
        <v>15</v>
      </c>
    </row>
    <row r="129" spans="1:6">
      <c r="A129" s="4" t="s">
        <v>175</v>
      </c>
      <c r="B129" s="8" t="s">
        <v>305</v>
      </c>
      <c r="C129" s="4" t="s">
        <v>473</v>
      </c>
      <c r="D129" s="15" t="s">
        <v>473</v>
      </c>
      <c r="E129" s="4" t="s">
        <v>31</v>
      </c>
      <c r="F129" s="4" t="s">
        <v>31</v>
      </c>
    </row>
    <row r="130" spans="1:6">
      <c r="A130" s="4" t="s">
        <v>427</v>
      </c>
      <c r="B130" s="8" t="s">
        <v>305</v>
      </c>
      <c r="C130" s="4" t="s">
        <v>473</v>
      </c>
      <c r="D130" s="15" t="s">
        <v>473</v>
      </c>
      <c r="E130" s="4" t="s">
        <v>15</v>
      </c>
      <c r="F130" s="4" t="s">
        <v>15</v>
      </c>
    </row>
    <row r="131" spans="1:6">
      <c r="A131" s="4" t="s">
        <v>430</v>
      </c>
      <c r="B131" s="8" t="s">
        <v>305</v>
      </c>
      <c r="C131" s="4" t="s">
        <v>15</v>
      </c>
      <c r="D131" s="15" t="s">
        <v>15</v>
      </c>
      <c r="E131" s="4" t="s">
        <v>15</v>
      </c>
      <c r="F131" s="4" t="s">
        <v>15</v>
      </c>
    </row>
    <row r="132" spans="1:6">
      <c r="A132" s="8" t="s">
        <v>433</v>
      </c>
      <c r="B132" s="8" t="s">
        <v>434</v>
      </c>
      <c r="C132" s="8" t="s">
        <v>15</v>
      </c>
      <c r="D132" s="16" t="s">
        <v>15</v>
      </c>
      <c r="E132" s="8" t="s">
        <v>15</v>
      </c>
      <c r="F132" s="8" t="s">
        <v>15</v>
      </c>
    </row>
    <row r="133" spans="1:6">
      <c r="A133" s="8" t="s">
        <v>494</v>
      </c>
      <c r="B133" s="8" t="s">
        <v>434</v>
      </c>
      <c r="C133" s="8" t="s">
        <v>26</v>
      </c>
      <c r="D133" s="16" t="s">
        <v>26</v>
      </c>
      <c r="E133" s="8" t="s">
        <v>26</v>
      </c>
      <c r="F133" s="8" t="s">
        <v>26</v>
      </c>
    </row>
    <row r="134" spans="1:6">
      <c r="A134" s="8" t="s">
        <v>495</v>
      </c>
      <c r="B134" s="8" t="s">
        <v>434</v>
      </c>
      <c r="C134" s="8" t="s">
        <v>472</v>
      </c>
      <c r="D134" s="16" t="s">
        <v>472</v>
      </c>
      <c r="E134" s="8" t="s">
        <v>31</v>
      </c>
      <c r="F134" s="8" t="s">
        <v>31</v>
      </c>
    </row>
    <row r="135" spans="1:6">
      <c r="A135" s="4" t="s">
        <v>442</v>
      </c>
      <c r="B135" s="8" t="s">
        <v>434</v>
      </c>
      <c r="C135" s="4" t="s">
        <v>31</v>
      </c>
      <c r="D135" s="15" t="s">
        <v>31</v>
      </c>
      <c r="E135" s="4" t="s">
        <v>31</v>
      </c>
      <c r="F135" s="4" t="s">
        <v>31</v>
      </c>
    </row>
    <row r="136" spans="1:6">
      <c r="A136" s="8" t="s">
        <v>496</v>
      </c>
      <c r="B136" s="8" t="s">
        <v>434</v>
      </c>
      <c r="C136" s="4" t="s">
        <v>473</v>
      </c>
      <c r="D136" s="16" t="s">
        <v>473</v>
      </c>
      <c r="E136" s="4" t="s">
        <v>31</v>
      </c>
      <c r="F136" s="4" t="s">
        <v>31</v>
      </c>
    </row>
    <row r="137" spans="1:6">
      <c r="A137" s="8" t="s">
        <v>448</v>
      </c>
      <c r="B137" s="8" t="s">
        <v>434</v>
      </c>
      <c r="C137" s="8" t="s">
        <v>497</v>
      </c>
      <c r="D137" s="16" t="s">
        <v>497</v>
      </c>
      <c r="E137" s="8" t="s">
        <v>26</v>
      </c>
      <c r="F137" s="8" t="s">
        <v>26</v>
      </c>
    </row>
    <row r="138" spans="1:6">
      <c r="A138" s="8" t="s">
        <v>451</v>
      </c>
      <c r="B138" s="8" t="s">
        <v>434</v>
      </c>
      <c r="C138" s="8" t="s">
        <v>497</v>
      </c>
      <c r="D138" s="16" t="s">
        <v>497</v>
      </c>
      <c r="E138" s="8" t="s">
        <v>26</v>
      </c>
      <c r="F138" s="8" t="s">
        <v>26</v>
      </c>
    </row>
    <row r="139" spans="1:6">
      <c r="A139" s="8" t="s">
        <v>498</v>
      </c>
      <c r="B139" s="8" t="s">
        <v>434</v>
      </c>
      <c r="C139" s="8" t="s">
        <v>15</v>
      </c>
      <c r="D139" s="16" t="s">
        <v>15</v>
      </c>
      <c r="E139" s="8" t="s">
        <v>15</v>
      </c>
      <c r="F139" s="8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9"/>
  <sheetViews>
    <sheetView topLeftCell="A130" zoomScale="130" zoomScaleNormal="130" workbookViewId="0">
      <selection activeCell="A135" sqref="A135"/>
    </sheetView>
  </sheetViews>
  <sheetFormatPr defaultColWidth="9" defaultRowHeight="15.3"/>
  <cols>
    <col min="1" max="1" width="21.64453125" style="4" customWidth="1"/>
    <col min="2" max="2" width="80.76171875" style="7" customWidth="1"/>
    <col min="3" max="3" width="9.41015625" style="5" customWidth="1"/>
    <col min="4" max="4" width="9.1171875" style="9" customWidth="1"/>
    <col min="5" max="5" width="18.76171875" style="3" customWidth="1"/>
    <col min="6" max="6" width="8.87890625" style="3"/>
  </cols>
  <sheetData>
    <row r="1" spans="1:6">
      <c r="A1" s="4" t="s">
        <v>0</v>
      </c>
      <c r="B1" s="7" t="s">
        <v>3</v>
      </c>
      <c r="C1" s="5" t="s">
        <v>499</v>
      </c>
      <c r="D1" s="9" t="s">
        <v>6</v>
      </c>
      <c r="E1" s="3" t="s">
        <v>500</v>
      </c>
      <c r="F1" s="3" t="s">
        <v>501</v>
      </c>
    </row>
    <row r="2" spans="1:6">
      <c r="A2" s="4" t="s">
        <v>13</v>
      </c>
      <c r="B2" s="7" t="s">
        <v>502</v>
      </c>
      <c r="C2" s="5">
        <v>28</v>
      </c>
      <c r="D2" s="9">
        <v>35.184177184960397</v>
      </c>
      <c r="E2" s="3" t="s">
        <v>503</v>
      </c>
    </row>
    <row r="3" spans="1:6" ht="30.6">
      <c r="A3" s="4" t="s">
        <v>24</v>
      </c>
      <c r="B3" s="7" t="s">
        <v>504</v>
      </c>
      <c r="C3" s="5">
        <v>52</v>
      </c>
      <c r="D3" s="9">
        <v>25.1396635811785</v>
      </c>
      <c r="E3" s="3" t="s">
        <v>11</v>
      </c>
    </row>
    <row r="4" spans="1:6">
      <c r="A4" s="4" t="s">
        <v>471</v>
      </c>
      <c r="B4" s="7" t="s">
        <v>27</v>
      </c>
      <c r="C4" s="5">
        <v>898</v>
      </c>
      <c r="D4" s="9">
        <v>26.801567024838999</v>
      </c>
      <c r="E4" s="3" t="s">
        <v>505</v>
      </c>
    </row>
    <row r="5" spans="1:6">
      <c r="A5" s="4" t="s">
        <v>35</v>
      </c>
      <c r="B5" s="7" t="s">
        <v>32</v>
      </c>
      <c r="C5" s="5">
        <v>7</v>
      </c>
      <c r="D5" s="9">
        <v>48.774694392547701</v>
      </c>
      <c r="E5" s="3" t="s">
        <v>11</v>
      </c>
    </row>
    <row r="6" spans="1:6">
      <c r="A6" s="4" t="s">
        <v>39</v>
      </c>
      <c r="B6" s="7" t="s">
        <v>37</v>
      </c>
      <c r="C6" s="5">
        <v>11</v>
      </c>
      <c r="D6" s="9">
        <v>23.004325250895398</v>
      </c>
      <c r="E6" s="3" t="s">
        <v>506</v>
      </c>
    </row>
    <row r="7" spans="1:6">
      <c r="A7" s="4" t="s">
        <v>40</v>
      </c>
      <c r="B7" s="7" t="s">
        <v>41</v>
      </c>
      <c r="C7" s="5">
        <v>27</v>
      </c>
      <c r="D7" s="9">
        <v>8.0624092052321199</v>
      </c>
      <c r="E7" s="3" t="s">
        <v>11</v>
      </c>
    </row>
    <row r="8" spans="1:6">
      <c r="A8" s="4" t="s">
        <v>474</v>
      </c>
      <c r="B8" s="7" t="s">
        <v>43</v>
      </c>
      <c r="C8" s="5">
        <v>14</v>
      </c>
      <c r="D8" s="9">
        <v>45.849519689159898</v>
      </c>
      <c r="E8" s="3" t="s">
        <v>507</v>
      </c>
    </row>
    <row r="9" spans="1:6">
      <c r="A9" s="4" t="s">
        <v>475</v>
      </c>
      <c r="B9" s="7" t="s">
        <v>47</v>
      </c>
      <c r="C9" s="5">
        <v>24</v>
      </c>
      <c r="D9" s="9">
        <v>28.341739185100099</v>
      </c>
      <c r="E9" s="3" t="s">
        <v>508</v>
      </c>
      <c r="F9" s="3" t="s">
        <v>509</v>
      </c>
    </row>
    <row r="10" spans="1:6">
      <c r="A10" s="4" t="s">
        <v>54</v>
      </c>
      <c r="B10" s="7" t="s">
        <v>510</v>
      </c>
      <c r="C10" s="5">
        <v>24</v>
      </c>
      <c r="D10" s="9">
        <v>39.326531590520098</v>
      </c>
      <c r="E10" s="3" t="s">
        <v>511</v>
      </c>
    </row>
    <row r="11" spans="1:6">
      <c r="A11" s="4" t="s">
        <v>476</v>
      </c>
      <c r="B11" s="7" t="s">
        <v>512</v>
      </c>
      <c r="C11" s="5">
        <v>36</v>
      </c>
      <c r="D11" s="9">
        <v>32.634786097973297</v>
      </c>
      <c r="E11" s="3" t="s">
        <v>513</v>
      </c>
    </row>
    <row r="12" spans="1:6">
      <c r="A12" s="4" t="s">
        <v>61</v>
      </c>
      <c r="B12" s="7" t="s">
        <v>59</v>
      </c>
      <c r="C12" s="5">
        <v>9</v>
      </c>
      <c r="D12" s="9">
        <v>38.869411883313099</v>
      </c>
      <c r="E12" s="3" t="s">
        <v>514</v>
      </c>
    </row>
    <row r="13" spans="1:6">
      <c r="A13" s="4" t="s">
        <v>65</v>
      </c>
      <c r="B13" s="7" t="s">
        <v>63</v>
      </c>
      <c r="C13" s="5">
        <v>27</v>
      </c>
      <c r="D13" s="9">
        <v>38.733836099174397</v>
      </c>
      <c r="E13" s="3" t="s">
        <v>515</v>
      </c>
    </row>
    <row r="14" spans="1:6" ht="30.6">
      <c r="A14" s="4" t="s">
        <v>477</v>
      </c>
      <c r="B14" s="7" t="s">
        <v>70</v>
      </c>
      <c r="C14" s="5">
        <v>192</v>
      </c>
      <c r="D14" s="9">
        <v>0.120941856653155</v>
      </c>
      <c r="E14" s="3" t="s">
        <v>516</v>
      </c>
    </row>
    <row r="15" spans="1:6" ht="30.6">
      <c r="A15" s="4" t="s">
        <v>72</v>
      </c>
      <c r="B15" s="7" t="s">
        <v>73</v>
      </c>
      <c r="C15" s="5">
        <f>46*3</f>
        <v>138</v>
      </c>
      <c r="D15" s="9">
        <v>0.45827059487956001</v>
      </c>
      <c r="E15" s="3" t="s">
        <v>517</v>
      </c>
    </row>
    <row r="16" spans="1:6">
      <c r="A16" s="4" t="s">
        <v>75</v>
      </c>
      <c r="B16" s="7" t="s">
        <v>76</v>
      </c>
      <c r="C16" s="5">
        <v>173</v>
      </c>
      <c r="D16" s="9">
        <v>17.0811344084455</v>
      </c>
      <c r="E16" s="3" t="s">
        <v>518</v>
      </c>
    </row>
    <row r="17" spans="1:5" ht="30.6">
      <c r="A17" s="4" t="s">
        <v>478</v>
      </c>
      <c r="B17" s="7" t="s">
        <v>79</v>
      </c>
      <c r="C17" s="5">
        <v>376</v>
      </c>
      <c r="D17" s="9">
        <v>1.7498096058139001</v>
      </c>
      <c r="E17" s="3" t="s">
        <v>519</v>
      </c>
    </row>
    <row r="18" spans="1:5" ht="30.6">
      <c r="A18" s="4" t="s">
        <v>80</v>
      </c>
      <c r="B18" s="7" t="s">
        <v>81</v>
      </c>
      <c r="C18" s="5">
        <v>432</v>
      </c>
      <c r="D18" s="9">
        <v>0.68723453030729598</v>
      </c>
      <c r="E18" s="3" t="s">
        <v>517</v>
      </c>
    </row>
    <row r="19" spans="1:5" ht="30.6">
      <c r="A19" s="4" t="s">
        <v>83</v>
      </c>
      <c r="B19" s="7" t="s">
        <v>520</v>
      </c>
      <c r="C19" s="5">
        <v>327</v>
      </c>
      <c r="D19" s="13">
        <v>5.7020904717023605E-4</v>
      </c>
    </row>
    <row r="20" spans="1:5" ht="30.6">
      <c r="A20" s="4" t="s">
        <v>87</v>
      </c>
      <c r="B20" s="7" t="s">
        <v>90</v>
      </c>
      <c r="C20" s="5">
        <v>114</v>
      </c>
      <c r="D20" s="9">
        <v>1.6487916706241801</v>
      </c>
      <c r="E20" s="3" t="s">
        <v>521</v>
      </c>
    </row>
    <row r="21" spans="1:5">
      <c r="A21" s="4" t="s">
        <v>93</v>
      </c>
      <c r="B21" s="7" t="s">
        <v>94</v>
      </c>
      <c r="C21" s="5">
        <v>15</v>
      </c>
      <c r="D21" s="9">
        <v>2.23280707213216</v>
      </c>
      <c r="E21" s="3" t="s">
        <v>522</v>
      </c>
    </row>
    <row r="22" spans="1:5">
      <c r="A22" s="4" t="s">
        <v>96</v>
      </c>
      <c r="B22" s="7" t="s">
        <v>97</v>
      </c>
      <c r="C22" s="5">
        <v>11</v>
      </c>
      <c r="D22" s="9">
        <v>1.80971368967574</v>
      </c>
      <c r="E22" s="3" t="s">
        <v>523</v>
      </c>
    </row>
    <row r="23" spans="1:5">
      <c r="A23" s="4" t="s">
        <v>100</v>
      </c>
      <c r="B23" s="7" t="s">
        <v>101</v>
      </c>
      <c r="C23" s="5">
        <v>80</v>
      </c>
      <c r="D23" s="9">
        <v>2.9797500681085198</v>
      </c>
      <c r="E23" s="3" t="s">
        <v>524</v>
      </c>
    </row>
    <row r="24" spans="1:5">
      <c r="A24" s="4" t="s">
        <v>105</v>
      </c>
      <c r="B24" s="7" t="s">
        <v>106</v>
      </c>
      <c r="C24" s="5">
        <v>64</v>
      </c>
      <c r="D24" s="9">
        <v>2.9112706973327298</v>
      </c>
      <c r="E24" s="3" t="s">
        <v>11</v>
      </c>
    </row>
    <row r="25" spans="1:5">
      <c r="A25" s="4" t="s">
        <v>481</v>
      </c>
      <c r="B25" s="7" t="s">
        <v>109</v>
      </c>
      <c r="C25" s="5">
        <v>6</v>
      </c>
      <c r="D25" s="9">
        <v>41.544779543619001</v>
      </c>
      <c r="E25" s="3" t="s">
        <v>525</v>
      </c>
    </row>
    <row r="26" spans="1:5">
      <c r="A26" s="4" t="s">
        <v>115</v>
      </c>
      <c r="B26" s="7" t="s">
        <v>113</v>
      </c>
      <c r="C26" s="5">
        <v>9</v>
      </c>
      <c r="D26" s="9">
        <v>107.215688463213</v>
      </c>
      <c r="E26" s="3" t="s">
        <v>526</v>
      </c>
    </row>
    <row r="27" spans="1:5">
      <c r="A27" s="4" t="s">
        <v>116</v>
      </c>
      <c r="B27" s="7" t="s">
        <v>117</v>
      </c>
      <c r="C27" s="5">
        <v>60</v>
      </c>
      <c r="D27" s="9">
        <v>5.0587619507856498</v>
      </c>
      <c r="E27" s="3" t="s">
        <v>527</v>
      </c>
    </row>
    <row r="28" spans="1:5">
      <c r="A28" s="4" t="s">
        <v>120</v>
      </c>
      <c r="B28" s="7" t="s">
        <v>121</v>
      </c>
      <c r="C28" s="5">
        <v>22</v>
      </c>
      <c r="D28" s="9">
        <v>4.9698355450325602</v>
      </c>
      <c r="E28" s="3" t="s">
        <v>528</v>
      </c>
    </row>
    <row r="29" spans="1:5">
      <c r="A29" s="4" t="s">
        <v>482</v>
      </c>
      <c r="B29" s="7" t="s">
        <v>124</v>
      </c>
      <c r="C29" s="5">
        <v>4</v>
      </c>
      <c r="D29" s="9">
        <v>0.44641644620438198</v>
      </c>
      <c r="E29" s="3" t="s">
        <v>529</v>
      </c>
    </row>
    <row r="30" spans="1:5">
      <c r="A30" s="4" t="s">
        <v>483</v>
      </c>
      <c r="B30" s="7" t="s">
        <v>128</v>
      </c>
      <c r="C30" s="5">
        <v>9</v>
      </c>
      <c r="D30" s="9">
        <v>2.7589992509954699</v>
      </c>
      <c r="E30" s="3" t="s">
        <v>530</v>
      </c>
    </row>
    <row r="31" spans="1:5">
      <c r="A31" s="4" t="s">
        <v>132</v>
      </c>
      <c r="B31" s="7" t="s">
        <v>133</v>
      </c>
      <c r="C31" s="5">
        <v>17</v>
      </c>
      <c r="D31" s="9">
        <v>4.5405546644999104</v>
      </c>
      <c r="E31" s="3" t="s">
        <v>11</v>
      </c>
    </row>
    <row r="32" spans="1:5">
      <c r="A32" s="4" t="s">
        <v>134</v>
      </c>
      <c r="B32" s="7" t="s">
        <v>135</v>
      </c>
      <c r="C32" s="5">
        <v>6</v>
      </c>
      <c r="D32" s="9">
        <v>25.228198346572999</v>
      </c>
      <c r="E32" s="3" t="s">
        <v>11</v>
      </c>
    </row>
    <row r="33" spans="1:6">
      <c r="A33" s="4" t="s">
        <v>137</v>
      </c>
      <c r="B33" s="7" t="s">
        <v>138</v>
      </c>
      <c r="C33" s="5">
        <v>34</v>
      </c>
      <c r="D33" s="9">
        <v>20.296785173313001</v>
      </c>
      <c r="E33" s="3" t="s">
        <v>11</v>
      </c>
    </row>
    <row r="34" spans="1:6">
      <c r="A34" s="4" t="s">
        <v>142</v>
      </c>
      <c r="B34" s="7" t="s">
        <v>140</v>
      </c>
      <c r="C34" s="5">
        <v>24</v>
      </c>
      <c r="D34" s="9">
        <v>28.4510666365303</v>
      </c>
      <c r="E34" s="3" t="s">
        <v>531</v>
      </c>
      <c r="F34" s="3" t="s">
        <v>532</v>
      </c>
    </row>
    <row r="35" spans="1:6">
      <c r="A35" s="4" t="s">
        <v>144</v>
      </c>
      <c r="B35" s="7" t="s">
        <v>145</v>
      </c>
      <c r="C35" s="5">
        <v>20</v>
      </c>
      <c r="D35" s="9">
        <v>44.047924315255798</v>
      </c>
      <c r="E35" s="3" t="s">
        <v>533</v>
      </c>
    </row>
    <row r="36" spans="1:6">
      <c r="A36" s="4" t="s">
        <v>147</v>
      </c>
      <c r="B36" s="7" t="s">
        <v>148</v>
      </c>
      <c r="C36" s="5">
        <v>51</v>
      </c>
      <c r="D36" s="9">
        <v>5.35522656654401</v>
      </c>
      <c r="E36" s="3" t="s">
        <v>11</v>
      </c>
    </row>
    <row r="37" spans="1:6">
      <c r="A37" s="4" t="s">
        <v>151</v>
      </c>
      <c r="B37" s="7" t="s">
        <v>152</v>
      </c>
      <c r="C37" s="5">
        <v>20</v>
      </c>
      <c r="D37" s="9">
        <v>6.2348835965297997</v>
      </c>
      <c r="E37" s="3" t="s">
        <v>11</v>
      </c>
    </row>
    <row r="38" spans="1:6">
      <c r="A38" s="4" t="s">
        <v>154</v>
      </c>
      <c r="B38" s="7" t="s">
        <v>155</v>
      </c>
      <c r="C38" s="5">
        <v>18</v>
      </c>
      <c r="D38" s="9">
        <v>1.78857149930934</v>
      </c>
      <c r="E38" s="3" t="s">
        <v>11</v>
      </c>
    </row>
    <row r="39" spans="1:6">
      <c r="A39" s="4" t="s">
        <v>484</v>
      </c>
      <c r="B39" s="7" t="s">
        <v>159</v>
      </c>
      <c r="C39" s="5">
        <v>13</v>
      </c>
      <c r="D39" s="9">
        <v>6.7502929281412696</v>
      </c>
      <c r="E39" s="3" t="s">
        <v>534</v>
      </c>
    </row>
    <row r="40" spans="1:6">
      <c r="A40" s="4" t="s">
        <v>162</v>
      </c>
      <c r="B40" s="7" t="s">
        <v>163</v>
      </c>
      <c r="C40" s="5">
        <v>462</v>
      </c>
      <c r="D40" s="9">
        <v>2.7432879573186701</v>
      </c>
      <c r="E40" s="3" t="s">
        <v>535</v>
      </c>
    </row>
    <row r="41" spans="1:6">
      <c r="A41" s="4" t="s">
        <v>166</v>
      </c>
      <c r="B41" s="7" t="s">
        <v>167</v>
      </c>
      <c r="C41" s="5">
        <v>17</v>
      </c>
      <c r="D41" s="9">
        <v>4.9634999128601498</v>
      </c>
      <c r="E41" s="3" t="s">
        <v>11</v>
      </c>
    </row>
    <row r="42" spans="1:6">
      <c r="A42" s="4" t="s">
        <v>485</v>
      </c>
      <c r="B42" s="7" t="s">
        <v>169</v>
      </c>
      <c r="C42" s="5">
        <v>44</v>
      </c>
      <c r="D42" s="9">
        <v>69.4659248261556</v>
      </c>
      <c r="E42" s="3" t="s">
        <v>536</v>
      </c>
    </row>
    <row r="43" spans="1:6">
      <c r="A43" s="4" t="s">
        <v>486</v>
      </c>
      <c r="B43" s="7" t="s">
        <v>172</v>
      </c>
      <c r="C43" s="5">
        <v>28</v>
      </c>
      <c r="D43" s="9">
        <v>1.54881192011179</v>
      </c>
      <c r="E43" s="3" t="s">
        <v>537</v>
      </c>
    </row>
    <row r="44" spans="1:6">
      <c r="A44" s="4" t="s">
        <v>175</v>
      </c>
      <c r="B44" s="7" t="s">
        <v>176</v>
      </c>
      <c r="C44" s="5">
        <v>15</v>
      </c>
      <c r="D44" s="9">
        <v>4.5233789190540499</v>
      </c>
      <c r="E44" s="3" t="s">
        <v>11</v>
      </c>
    </row>
    <row r="45" spans="1:6">
      <c r="A45" s="4" t="s">
        <v>178</v>
      </c>
      <c r="B45" s="7" t="s">
        <v>179</v>
      </c>
      <c r="C45" s="5">
        <v>23</v>
      </c>
      <c r="D45" s="9">
        <v>6.5151858638641302</v>
      </c>
      <c r="E45" s="3" t="s">
        <v>538</v>
      </c>
    </row>
    <row r="46" spans="1:6" ht="30.6">
      <c r="A46" s="4" t="s">
        <v>180</v>
      </c>
      <c r="B46" s="7" t="s">
        <v>539</v>
      </c>
      <c r="C46" s="5">
        <v>69</v>
      </c>
      <c r="D46" s="9">
        <v>0.68684133087948096</v>
      </c>
      <c r="E46" s="3" t="s">
        <v>540</v>
      </c>
    </row>
    <row r="47" spans="1:6">
      <c r="A47" s="4" t="s">
        <v>186</v>
      </c>
      <c r="B47" s="7" t="s">
        <v>187</v>
      </c>
      <c r="C47" s="5">
        <v>20</v>
      </c>
      <c r="D47" s="9">
        <v>2.0051488937053299</v>
      </c>
      <c r="E47" s="3" t="s">
        <v>541</v>
      </c>
    </row>
    <row r="48" spans="1:6">
      <c r="A48" s="4" t="s">
        <v>189</v>
      </c>
      <c r="B48" s="7" t="s">
        <v>542</v>
      </c>
      <c r="C48" s="5">
        <v>24</v>
      </c>
      <c r="D48" s="9">
        <v>2.6505928738728199</v>
      </c>
      <c r="E48" s="3" t="s">
        <v>543</v>
      </c>
      <c r="F48" s="3" t="s">
        <v>544</v>
      </c>
    </row>
    <row r="49" spans="1:6">
      <c r="A49" s="4" t="s">
        <v>192</v>
      </c>
      <c r="B49" s="7" t="s">
        <v>193</v>
      </c>
      <c r="C49" s="5">
        <v>6</v>
      </c>
      <c r="D49" s="9">
        <v>3.65966356464281</v>
      </c>
      <c r="E49" s="3" t="s">
        <v>11</v>
      </c>
    </row>
    <row r="50" spans="1:6">
      <c r="A50" s="4" t="s">
        <v>194</v>
      </c>
      <c r="B50" s="7" t="s">
        <v>195</v>
      </c>
      <c r="C50" s="5">
        <v>21</v>
      </c>
      <c r="D50" s="9">
        <v>26.174856911454398</v>
      </c>
      <c r="E50" s="3" t="s">
        <v>545</v>
      </c>
    </row>
    <row r="51" spans="1:6">
      <c r="A51" s="4" t="s">
        <v>198</v>
      </c>
      <c r="B51" s="7" t="s">
        <v>199</v>
      </c>
      <c r="C51" s="5">
        <v>30</v>
      </c>
      <c r="D51" s="9">
        <v>23.649073563871799</v>
      </c>
      <c r="E51" s="3" t="s">
        <v>546</v>
      </c>
      <c r="F51" s="3" t="s">
        <v>547</v>
      </c>
    </row>
    <row r="52" spans="1:6" ht="30.6">
      <c r="A52" s="4" t="s">
        <v>202</v>
      </c>
      <c r="B52" s="7" t="s">
        <v>203</v>
      </c>
      <c r="C52" s="5">
        <v>215</v>
      </c>
      <c r="D52" s="9">
        <v>1.8097302023444</v>
      </c>
      <c r="E52" s="3" t="s">
        <v>548</v>
      </c>
    </row>
    <row r="53" spans="1:6" ht="30.6">
      <c r="A53" s="4" t="s">
        <v>206</v>
      </c>
      <c r="B53" s="7" t="s">
        <v>205</v>
      </c>
      <c r="C53" s="5">
        <v>12</v>
      </c>
      <c r="D53" s="9">
        <v>7.3688226995952402</v>
      </c>
      <c r="E53" s="3" t="s">
        <v>11</v>
      </c>
    </row>
    <row r="54" spans="1:6">
      <c r="A54" s="4" t="s">
        <v>207</v>
      </c>
      <c r="B54" s="7" t="s">
        <v>208</v>
      </c>
      <c r="C54" s="5">
        <v>6</v>
      </c>
      <c r="D54" s="9">
        <v>27.845241180126902</v>
      </c>
      <c r="E54" s="3" t="s">
        <v>545</v>
      </c>
    </row>
    <row r="55" spans="1:6">
      <c r="A55" s="4" t="s">
        <v>209</v>
      </c>
      <c r="B55" s="7" t="s">
        <v>210</v>
      </c>
      <c r="C55" s="5">
        <v>20</v>
      </c>
      <c r="D55" s="9">
        <v>1.0731308889271001</v>
      </c>
      <c r="E55" s="3" t="s">
        <v>549</v>
      </c>
    </row>
    <row r="56" spans="1:6">
      <c r="A56" s="4" t="s">
        <v>213</v>
      </c>
      <c r="B56" s="7" t="s">
        <v>214</v>
      </c>
      <c r="C56" s="5">
        <v>14</v>
      </c>
      <c r="D56" s="9">
        <v>3.7036389838281001</v>
      </c>
      <c r="E56" s="3" t="s">
        <v>550</v>
      </c>
    </row>
    <row r="57" spans="1:6">
      <c r="A57" s="4" t="s">
        <v>215</v>
      </c>
      <c r="B57" s="7" t="s">
        <v>216</v>
      </c>
      <c r="C57" s="5">
        <v>10</v>
      </c>
      <c r="D57" s="9">
        <v>168.49623517541301</v>
      </c>
      <c r="E57" s="3" t="s">
        <v>530</v>
      </c>
    </row>
    <row r="58" spans="1:6">
      <c r="A58" s="4" t="s">
        <v>487</v>
      </c>
      <c r="B58" s="7" t="s">
        <v>551</v>
      </c>
      <c r="C58" s="5">
        <v>10</v>
      </c>
      <c r="D58" s="9">
        <v>198.16399747543301</v>
      </c>
      <c r="E58" s="3" t="s">
        <v>530</v>
      </c>
    </row>
    <row r="59" spans="1:6">
      <c r="A59" s="4" t="s">
        <v>488</v>
      </c>
      <c r="B59" s="7" t="s">
        <v>552</v>
      </c>
      <c r="C59" s="5">
        <v>8</v>
      </c>
      <c r="D59" s="9">
        <v>46.960848146701103</v>
      </c>
      <c r="E59" s="3" t="s">
        <v>530</v>
      </c>
    </row>
    <row r="60" spans="1:6">
      <c r="A60" s="4" t="s">
        <v>219</v>
      </c>
      <c r="B60" s="7" t="s">
        <v>220</v>
      </c>
      <c r="C60" s="5">
        <v>49</v>
      </c>
      <c r="D60" s="9">
        <v>14.1245197488757</v>
      </c>
      <c r="E60" s="3" t="s">
        <v>553</v>
      </c>
    </row>
    <row r="61" spans="1:6">
      <c r="A61" s="4" t="s">
        <v>226</v>
      </c>
      <c r="B61" s="7" t="s">
        <v>199</v>
      </c>
      <c r="C61" s="5">
        <v>32</v>
      </c>
      <c r="D61" s="9">
        <v>4.3937224682350697</v>
      </c>
      <c r="E61" s="3" t="s">
        <v>554</v>
      </c>
    </row>
    <row r="62" spans="1:6">
      <c r="A62" s="4" t="s">
        <v>227</v>
      </c>
      <c r="B62" s="7" t="s">
        <v>228</v>
      </c>
      <c r="C62" s="5">
        <v>56</v>
      </c>
      <c r="D62" s="9">
        <v>8.3889318255906602</v>
      </c>
      <c r="E62" s="3" t="s">
        <v>555</v>
      </c>
    </row>
    <row r="63" spans="1:6">
      <c r="A63" s="4" t="s">
        <v>230</v>
      </c>
      <c r="B63" s="7" t="s">
        <v>231</v>
      </c>
      <c r="C63" s="5">
        <v>28</v>
      </c>
      <c r="D63" s="9">
        <v>1.42963141144376</v>
      </c>
      <c r="E63" s="3" t="s">
        <v>11</v>
      </c>
    </row>
    <row r="64" spans="1:6">
      <c r="A64" s="4" t="s">
        <v>233</v>
      </c>
      <c r="B64" s="7" t="s">
        <v>234</v>
      </c>
      <c r="C64" s="5">
        <v>21</v>
      </c>
      <c r="D64" s="9">
        <v>6.6256842226483998</v>
      </c>
      <c r="E64" s="3" t="s">
        <v>556</v>
      </c>
    </row>
    <row r="65" spans="1:6">
      <c r="A65" s="4" t="s">
        <v>236</v>
      </c>
      <c r="B65" s="7" t="s">
        <v>237</v>
      </c>
      <c r="C65" s="5">
        <v>30</v>
      </c>
      <c r="D65" s="9">
        <v>2.3355640751059901</v>
      </c>
      <c r="E65" s="3" t="s">
        <v>557</v>
      </c>
    </row>
    <row r="66" spans="1:6">
      <c r="A66" s="4" t="s">
        <v>489</v>
      </c>
      <c r="B66" s="7" t="s">
        <v>240</v>
      </c>
      <c r="C66" s="5">
        <v>6</v>
      </c>
      <c r="D66" s="9">
        <v>57.714823900599598</v>
      </c>
      <c r="E66" s="3" t="s">
        <v>530</v>
      </c>
    </row>
    <row r="67" spans="1:6">
      <c r="A67" s="4" t="s">
        <v>243</v>
      </c>
      <c r="B67" s="7" t="s">
        <v>244</v>
      </c>
      <c r="C67" s="5">
        <v>6</v>
      </c>
      <c r="D67" s="9">
        <v>81.416263192031707</v>
      </c>
      <c r="E67" s="3" t="s">
        <v>530</v>
      </c>
    </row>
    <row r="68" spans="1:6" ht="30.6">
      <c r="A68" s="4" t="s">
        <v>246</v>
      </c>
      <c r="B68" s="7" t="s">
        <v>558</v>
      </c>
      <c r="C68" s="5">
        <v>100</v>
      </c>
      <c r="D68" s="9">
        <v>20.688619900279601</v>
      </c>
      <c r="E68" s="3" t="s">
        <v>559</v>
      </c>
    </row>
    <row r="69" spans="1:6" ht="30.6">
      <c r="A69" s="4" t="s">
        <v>248</v>
      </c>
      <c r="B69" s="7" t="s">
        <v>249</v>
      </c>
      <c r="C69" s="5">
        <v>200</v>
      </c>
      <c r="D69" s="9">
        <v>13.8655740607479</v>
      </c>
      <c r="E69" s="3" t="s">
        <v>559</v>
      </c>
    </row>
    <row r="70" spans="1:6">
      <c r="A70" s="4" t="s">
        <v>250</v>
      </c>
      <c r="B70" s="7" t="s">
        <v>251</v>
      </c>
      <c r="C70" s="5">
        <v>16</v>
      </c>
      <c r="D70" s="9">
        <v>109.342827134629</v>
      </c>
      <c r="E70" s="3" t="s">
        <v>545</v>
      </c>
    </row>
    <row r="71" spans="1:6">
      <c r="A71" s="4" t="s">
        <v>252</v>
      </c>
      <c r="B71" s="7" t="s">
        <v>253</v>
      </c>
      <c r="C71" s="5">
        <v>184</v>
      </c>
      <c r="D71" s="9">
        <v>1.91483152600886</v>
      </c>
      <c r="E71" s="3" t="s">
        <v>556</v>
      </c>
    </row>
    <row r="72" spans="1:6">
      <c r="A72" s="4" t="s">
        <v>258</v>
      </c>
      <c r="B72" s="7" t="s">
        <v>256</v>
      </c>
      <c r="C72" s="5">
        <v>14</v>
      </c>
      <c r="D72" s="9">
        <v>0.98869826533830996</v>
      </c>
      <c r="E72" s="3" t="s">
        <v>560</v>
      </c>
    </row>
    <row r="73" spans="1:6">
      <c r="A73" s="4" t="s">
        <v>259</v>
      </c>
      <c r="B73" s="7" t="s">
        <v>260</v>
      </c>
      <c r="C73" s="5">
        <v>24</v>
      </c>
      <c r="D73" s="9">
        <v>7.1285964996592703</v>
      </c>
      <c r="E73" s="3" t="s">
        <v>561</v>
      </c>
    </row>
    <row r="74" spans="1:6">
      <c r="A74" s="4" t="s">
        <v>262</v>
      </c>
      <c r="B74" s="7" t="s">
        <v>263</v>
      </c>
      <c r="C74" s="5">
        <v>96</v>
      </c>
      <c r="D74" s="9">
        <v>4.1990670307897</v>
      </c>
      <c r="E74" s="3" t="s">
        <v>561</v>
      </c>
    </row>
    <row r="75" spans="1:6">
      <c r="A75" s="4" t="s">
        <v>264</v>
      </c>
      <c r="B75" s="7" t="s">
        <v>265</v>
      </c>
      <c r="C75" s="5">
        <v>23</v>
      </c>
      <c r="D75" s="9">
        <v>5.0213153550258696</v>
      </c>
      <c r="E75" s="3" t="s">
        <v>11</v>
      </c>
    </row>
    <row r="76" spans="1:6" ht="30.6">
      <c r="A76" s="4" t="s">
        <v>267</v>
      </c>
      <c r="B76" s="7" t="s">
        <v>562</v>
      </c>
      <c r="C76" s="5">
        <v>275</v>
      </c>
      <c r="D76" s="9">
        <v>22.044806001518701</v>
      </c>
    </row>
    <row r="77" spans="1:6">
      <c r="A77" s="4" t="s">
        <v>270</v>
      </c>
      <c r="B77" s="7" t="s">
        <v>271</v>
      </c>
      <c r="C77" s="5">
        <v>18</v>
      </c>
      <c r="D77" s="9">
        <v>0.705234933428599</v>
      </c>
      <c r="E77" s="3" t="s">
        <v>11</v>
      </c>
    </row>
    <row r="78" spans="1:6">
      <c r="A78" s="4" t="s">
        <v>273</v>
      </c>
      <c r="B78" s="7" t="s">
        <v>274</v>
      </c>
      <c r="C78" s="5">
        <v>22</v>
      </c>
      <c r="D78" s="9">
        <v>9.6459325872608499</v>
      </c>
      <c r="E78" s="3" t="s">
        <v>556</v>
      </c>
      <c r="F78" s="3" t="s">
        <v>563</v>
      </c>
    </row>
    <row r="79" spans="1:6">
      <c r="A79" s="4" t="s">
        <v>276</v>
      </c>
      <c r="B79" s="7" t="s">
        <v>274</v>
      </c>
      <c r="C79" s="5">
        <v>66</v>
      </c>
      <c r="D79" s="9">
        <v>6.8859533521726304</v>
      </c>
      <c r="E79" s="3" t="s">
        <v>564</v>
      </c>
      <c r="F79" s="3" t="s">
        <v>565</v>
      </c>
    </row>
    <row r="80" spans="1:6">
      <c r="A80" s="4" t="s">
        <v>278</v>
      </c>
      <c r="B80" s="7" t="s">
        <v>279</v>
      </c>
      <c r="C80" s="5">
        <v>38</v>
      </c>
      <c r="D80" s="9">
        <v>54.703562183204198</v>
      </c>
      <c r="E80" s="3" t="s">
        <v>566</v>
      </c>
      <c r="F80" s="3" t="s">
        <v>567</v>
      </c>
    </row>
    <row r="81" spans="1:6">
      <c r="A81" s="4" t="s">
        <v>491</v>
      </c>
      <c r="B81" s="7" t="s">
        <v>283</v>
      </c>
      <c r="C81" s="5">
        <v>30</v>
      </c>
      <c r="D81" s="9">
        <v>29.302912646592699</v>
      </c>
      <c r="E81" s="3" t="s">
        <v>537</v>
      </c>
    </row>
    <row r="82" spans="1:6">
      <c r="A82" s="4" t="s">
        <v>285</v>
      </c>
      <c r="B82" s="7" t="s">
        <v>286</v>
      </c>
      <c r="C82" s="5">
        <v>13</v>
      </c>
      <c r="D82" s="9">
        <v>21.999769779297999</v>
      </c>
      <c r="E82" s="3" t="s">
        <v>568</v>
      </c>
    </row>
    <row r="83" spans="1:6">
      <c r="A83" s="4" t="s">
        <v>289</v>
      </c>
      <c r="B83" s="7" t="s">
        <v>290</v>
      </c>
      <c r="C83" s="5">
        <v>27</v>
      </c>
      <c r="D83" s="9">
        <v>100.859393351104</v>
      </c>
      <c r="E83" s="3" t="s">
        <v>566</v>
      </c>
      <c r="F83" s="3" t="s">
        <v>569</v>
      </c>
    </row>
    <row r="84" spans="1:6">
      <c r="A84" s="4" t="s">
        <v>294</v>
      </c>
      <c r="B84" s="7" t="s">
        <v>295</v>
      </c>
      <c r="C84" s="5">
        <v>40</v>
      </c>
      <c r="D84" s="9">
        <v>4.8987349868884298</v>
      </c>
      <c r="E84" s="3" t="s">
        <v>570</v>
      </c>
      <c r="F84" s="3" t="s">
        <v>571</v>
      </c>
    </row>
    <row r="85" spans="1:6">
      <c r="A85" s="4" t="s">
        <v>298</v>
      </c>
      <c r="B85" s="7" t="s">
        <v>299</v>
      </c>
      <c r="C85" s="5">
        <v>200</v>
      </c>
      <c r="D85" s="9">
        <v>4.0174891706872096</v>
      </c>
      <c r="E85" s="3" t="s">
        <v>570</v>
      </c>
      <c r="F85" s="3" t="s">
        <v>571</v>
      </c>
    </row>
    <row r="86" spans="1:6">
      <c r="A86" s="4" t="s">
        <v>301</v>
      </c>
      <c r="B86" s="7" t="s">
        <v>300</v>
      </c>
      <c r="C86" s="5">
        <v>8</v>
      </c>
      <c r="D86" s="9">
        <v>5.2294785932161796</v>
      </c>
      <c r="E86" s="3" t="s">
        <v>572</v>
      </c>
    </row>
    <row r="87" spans="1:6">
      <c r="A87" s="4" t="s">
        <v>303</v>
      </c>
      <c r="B87" s="7" t="s">
        <v>302</v>
      </c>
      <c r="C87" s="5">
        <v>20</v>
      </c>
      <c r="D87" s="9">
        <v>6.0619762082584696</v>
      </c>
      <c r="E87" s="3" t="s">
        <v>573</v>
      </c>
      <c r="F87" s="3" t="s">
        <v>572</v>
      </c>
    </row>
    <row r="88" spans="1:6">
      <c r="A88" s="4" t="s">
        <v>304</v>
      </c>
      <c r="B88" s="7" t="s">
        <v>307</v>
      </c>
      <c r="C88" s="5">
        <v>11</v>
      </c>
      <c r="D88" s="14">
        <v>6518016.6200118102</v>
      </c>
      <c r="E88" s="3" t="s">
        <v>574</v>
      </c>
    </row>
    <row r="89" spans="1:6">
      <c r="A89" s="4" t="s">
        <v>309</v>
      </c>
      <c r="B89" s="7" t="s">
        <v>310</v>
      </c>
      <c r="C89" s="5">
        <v>18</v>
      </c>
      <c r="D89" s="14">
        <v>148738.610099001</v>
      </c>
      <c r="E89" s="3" t="s">
        <v>575</v>
      </c>
    </row>
    <row r="90" spans="1:6">
      <c r="A90" s="4" t="s">
        <v>314</v>
      </c>
      <c r="B90" s="7" t="s">
        <v>315</v>
      </c>
      <c r="C90" s="5">
        <v>6</v>
      </c>
      <c r="D90" s="9">
        <v>36.9293973378511</v>
      </c>
      <c r="E90" s="3" t="s">
        <v>11</v>
      </c>
    </row>
    <row r="91" spans="1:6">
      <c r="A91" s="4" t="s">
        <v>317</v>
      </c>
      <c r="B91" s="7" t="s">
        <v>318</v>
      </c>
      <c r="C91" s="5">
        <v>8</v>
      </c>
      <c r="D91" s="9">
        <v>69.971196478544599</v>
      </c>
      <c r="E91" s="3" t="s">
        <v>11</v>
      </c>
    </row>
    <row r="92" spans="1:6">
      <c r="A92" s="4" t="s">
        <v>320</v>
      </c>
      <c r="B92" s="7" t="s">
        <v>321</v>
      </c>
      <c r="C92" s="5">
        <v>19</v>
      </c>
      <c r="D92" s="9">
        <v>1829.30552515211</v>
      </c>
      <c r="E92" s="3" t="s">
        <v>523</v>
      </c>
    </row>
    <row r="93" spans="1:6">
      <c r="A93" s="4" t="s">
        <v>324</v>
      </c>
      <c r="B93" s="7" t="s">
        <v>325</v>
      </c>
      <c r="C93" s="5">
        <v>10</v>
      </c>
      <c r="D93" s="9">
        <v>105.53301765783399</v>
      </c>
      <c r="E93" s="3" t="s">
        <v>576</v>
      </c>
    </row>
    <row r="94" spans="1:6">
      <c r="A94" s="4" t="s">
        <v>328</v>
      </c>
      <c r="B94" s="7" t="s">
        <v>329</v>
      </c>
      <c r="C94" s="5">
        <v>14</v>
      </c>
      <c r="D94" s="9">
        <v>10.3537918378731</v>
      </c>
      <c r="E94" s="3" t="s">
        <v>523</v>
      </c>
    </row>
    <row r="95" spans="1:6">
      <c r="A95" s="4" t="s">
        <v>330</v>
      </c>
      <c r="B95" s="7" t="s">
        <v>331</v>
      </c>
      <c r="C95" s="5">
        <v>16</v>
      </c>
      <c r="D95" s="9">
        <v>54.513187854651697</v>
      </c>
      <c r="E95" s="3" t="s">
        <v>533</v>
      </c>
    </row>
    <row r="96" spans="1:6">
      <c r="A96" s="4" t="s">
        <v>333</v>
      </c>
      <c r="B96" s="7" t="s">
        <v>334</v>
      </c>
      <c r="C96" s="5">
        <v>83</v>
      </c>
      <c r="D96" s="9">
        <v>114.983949183756</v>
      </c>
      <c r="E96" s="3" t="s">
        <v>533</v>
      </c>
    </row>
    <row r="97" spans="1:5">
      <c r="A97" s="4" t="s">
        <v>336</v>
      </c>
      <c r="B97" s="7" t="s">
        <v>337</v>
      </c>
      <c r="C97" s="5">
        <v>30</v>
      </c>
      <c r="D97" s="9">
        <v>30.3647381480489</v>
      </c>
      <c r="E97" s="3" t="s">
        <v>11</v>
      </c>
    </row>
    <row r="98" spans="1:5">
      <c r="A98" s="4" t="s">
        <v>338</v>
      </c>
      <c r="B98" s="7" t="s">
        <v>339</v>
      </c>
      <c r="C98" s="5">
        <v>36</v>
      </c>
      <c r="D98" s="9">
        <v>19.448003809790698</v>
      </c>
      <c r="E98" s="3" t="s">
        <v>11</v>
      </c>
    </row>
    <row r="99" spans="1:5">
      <c r="A99" s="4" t="s">
        <v>341</v>
      </c>
      <c r="B99" s="8" t="s">
        <v>342</v>
      </c>
      <c r="C99" s="5">
        <v>20</v>
      </c>
      <c r="D99" s="9">
        <v>22.305237603757799</v>
      </c>
      <c r="E99" s="3" t="s">
        <v>577</v>
      </c>
    </row>
    <row r="100" spans="1:5">
      <c r="A100" s="4" t="s">
        <v>345</v>
      </c>
      <c r="B100" s="7" t="s">
        <v>346</v>
      </c>
      <c r="C100" s="5">
        <v>14</v>
      </c>
      <c r="D100" s="9">
        <v>34.941119655196999</v>
      </c>
      <c r="E100" s="3" t="s">
        <v>11</v>
      </c>
    </row>
    <row r="101" spans="1:5">
      <c r="A101" s="4" t="s">
        <v>347</v>
      </c>
      <c r="B101" s="7" t="s">
        <v>348</v>
      </c>
      <c r="C101" s="5">
        <v>13</v>
      </c>
      <c r="D101" s="9">
        <v>71.318314721715296</v>
      </c>
      <c r="E101" s="3" t="s">
        <v>578</v>
      </c>
    </row>
    <row r="102" spans="1:5">
      <c r="A102" s="4" t="s">
        <v>352</v>
      </c>
      <c r="B102" s="7" t="s">
        <v>351</v>
      </c>
      <c r="C102" s="5">
        <v>10</v>
      </c>
      <c r="D102" s="9">
        <v>659.15441925094103</v>
      </c>
      <c r="E102" s="3" t="s">
        <v>11</v>
      </c>
    </row>
    <row r="103" spans="1:5">
      <c r="A103" s="4" t="s">
        <v>492</v>
      </c>
      <c r="B103" s="7" t="s">
        <v>355</v>
      </c>
      <c r="C103" s="5">
        <v>52</v>
      </c>
      <c r="D103" s="9">
        <v>46.361021949785801</v>
      </c>
      <c r="E103" s="3" t="s">
        <v>579</v>
      </c>
    </row>
    <row r="104" spans="1:5">
      <c r="A104" s="4" t="s">
        <v>357</v>
      </c>
      <c r="B104" s="7" t="s">
        <v>358</v>
      </c>
      <c r="C104" s="5">
        <v>51</v>
      </c>
      <c r="D104" s="9">
        <v>45.353815142473401</v>
      </c>
      <c r="E104" s="3" t="s">
        <v>580</v>
      </c>
    </row>
    <row r="105" spans="1:5">
      <c r="A105" s="4" t="s">
        <v>361</v>
      </c>
      <c r="B105" s="7" t="s">
        <v>362</v>
      </c>
      <c r="C105" s="5">
        <v>25</v>
      </c>
      <c r="D105" s="9">
        <v>41.048886433370001</v>
      </c>
      <c r="E105" s="3" t="s">
        <v>581</v>
      </c>
    </row>
    <row r="106" spans="1:5">
      <c r="A106" s="4" t="s">
        <v>364</v>
      </c>
      <c r="B106" s="7" t="s">
        <v>365</v>
      </c>
      <c r="C106" s="5">
        <v>36</v>
      </c>
      <c r="D106" s="9">
        <v>265.65398535576702</v>
      </c>
      <c r="E106" s="3" t="s">
        <v>581</v>
      </c>
    </row>
    <row r="107" spans="1:5">
      <c r="A107" s="4" t="s">
        <v>368</v>
      </c>
      <c r="B107" s="7" t="s">
        <v>582</v>
      </c>
      <c r="C107" s="5">
        <v>25</v>
      </c>
      <c r="D107" s="9">
        <v>72.952492796956804</v>
      </c>
      <c r="E107" s="3" t="s">
        <v>11</v>
      </c>
    </row>
    <row r="108" spans="1:5">
      <c r="A108" s="4" t="s">
        <v>369</v>
      </c>
      <c r="B108" s="7" t="s">
        <v>370</v>
      </c>
      <c r="C108" s="5">
        <v>202</v>
      </c>
      <c r="D108" s="9">
        <v>83.411760396200705</v>
      </c>
      <c r="E108" s="3" t="s">
        <v>533</v>
      </c>
    </row>
    <row r="109" spans="1:5">
      <c r="A109" s="4" t="s">
        <v>372</v>
      </c>
      <c r="B109" s="7" t="s">
        <v>373</v>
      </c>
      <c r="C109" s="5">
        <v>505</v>
      </c>
      <c r="D109" s="9">
        <v>74.794338271763195</v>
      </c>
      <c r="E109" s="3" t="s">
        <v>533</v>
      </c>
    </row>
    <row r="110" spans="1:5">
      <c r="A110" s="4" t="s">
        <v>375</v>
      </c>
      <c r="B110" s="7" t="s">
        <v>376</v>
      </c>
      <c r="C110" s="5">
        <v>11</v>
      </c>
      <c r="D110" s="9">
        <v>58.560661079681203</v>
      </c>
      <c r="E110" s="3" t="s">
        <v>11</v>
      </c>
    </row>
    <row r="111" spans="1:5">
      <c r="A111" s="4" t="s">
        <v>378</v>
      </c>
      <c r="B111" s="7" t="s">
        <v>379</v>
      </c>
      <c r="C111" s="5">
        <v>18</v>
      </c>
      <c r="D111" s="9">
        <v>56.948396982996101</v>
      </c>
      <c r="E111" s="3" t="s">
        <v>583</v>
      </c>
    </row>
    <row r="112" spans="1:5">
      <c r="A112" s="4" t="s">
        <v>382</v>
      </c>
      <c r="B112" s="7" t="s">
        <v>383</v>
      </c>
      <c r="C112" s="5">
        <v>23</v>
      </c>
      <c r="D112" s="9">
        <v>307.031152103522</v>
      </c>
      <c r="E112" s="3" t="s">
        <v>584</v>
      </c>
    </row>
    <row r="113" spans="1:5">
      <c r="A113" s="4" t="s">
        <v>384</v>
      </c>
      <c r="B113" s="7" t="s">
        <v>383</v>
      </c>
      <c r="C113" s="5">
        <v>30</v>
      </c>
      <c r="D113" s="9">
        <v>281.769774235434</v>
      </c>
      <c r="E113" s="3" t="s">
        <v>585</v>
      </c>
    </row>
    <row r="114" spans="1:5">
      <c r="A114" s="4" t="s">
        <v>386</v>
      </c>
      <c r="B114" s="7" t="s">
        <v>586</v>
      </c>
      <c r="C114" s="5">
        <v>165</v>
      </c>
      <c r="D114" s="9">
        <v>154.461240225388</v>
      </c>
      <c r="E114" s="3" t="s">
        <v>587</v>
      </c>
    </row>
    <row r="115" spans="1:5">
      <c r="A115" s="4" t="s">
        <v>389</v>
      </c>
      <c r="B115" s="7" t="s">
        <v>588</v>
      </c>
      <c r="C115" s="5">
        <v>43</v>
      </c>
      <c r="D115" s="9">
        <v>539.03082067639605</v>
      </c>
      <c r="E115" s="3" t="s">
        <v>11</v>
      </c>
    </row>
    <row r="116" spans="1:5">
      <c r="A116" s="4" t="s">
        <v>493</v>
      </c>
      <c r="B116" s="7" t="s">
        <v>392</v>
      </c>
      <c r="C116" s="5">
        <v>35</v>
      </c>
      <c r="D116" s="9">
        <v>821.30936295093295</v>
      </c>
      <c r="E116" s="3" t="s">
        <v>589</v>
      </c>
    </row>
    <row r="117" spans="1:5" ht="30.6">
      <c r="A117" s="4" t="s">
        <v>394</v>
      </c>
      <c r="B117" s="7" t="s">
        <v>590</v>
      </c>
      <c r="C117" s="5">
        <v>12</v>
      </c>
      <c r="D117" s="9">
        <v>30.909235405288602</v>
      </c>
      <c r="E117" s="3" t="s">
        <v>11</v>
      </c>
    </row>
    <row r="118" spans="1:5" ht="30.6">
      <c r="A118" s="4" t="s">
        <v>396</v>
      </c>
      <c r="B118" s="7" t="s">
        <v>397</v>
      </c>
      <c r="C118" s="5">
        <v>68</v>
      </c>
      <c r="D118" s="9">
        <v>508.34447900631699</v>
      </c>
      <c r="E118" s="3" t="s">
        <v>591</v>
      </c>
    </row>
    <row r="119" spans="1:5">
      <c r="A119" s="4" t="s">
        <v>399</v>
      </c>
      <c r="B119" s="7" t="s">
        <v>592</v>
      </c>
      <c r="C119" s="5">
        <v>26</v>
      </c>
      <c r="D119" s="9">
        <v>191.81364005059501</v>
      </c>
      <c r="E119" s="3" t="s">
        <v>11</v>
      </c>
    </row>
    <row r="120" spans="1:5" ht="30.6">
      <c r="A120" s="4" t="s">
        <v>402</v>
      </c>
      <c r="B120" s="7" t="s">
        <v>403</v>
      </c>
      <c r="C120" s="5">
        <v>6</v>
      </c>
      <c r="D120" s="9">
        <v>136.70797524616</v>
      </c>
      <c r="E120" s="3" t="s">
        <v>593</v>
      </c>
    </row>
    <row r="121" spans="1:5" ht="30.6">
      <c r="A121" s="4" t="s">
        <v>404</v>
      </c>
      <c r="B121" s="7" t="s">
        <v>405</v>
      </c>
      <c r="C121" s="5">
        <v>6</v>
      </c>
      <c r="D121" s="9">
        <v>96.190035151775803</v>
      </c>
      <c r="E121" s="3" t="s">
        <v>593</v>
      </c>
    </row>
    <row r="122" spans="1:5" ht="30.6">
      <c r="A122" s="4" t="s">
        <v>406</v>
      </c>
      <c r="B122" s="7" t="s">
        <v>407</v>
      </c>
      <c r="C122" s="5">
        <v>6</v>
      </c>
      <c r="D122" s="9">
        <v>356.32784302000198</v>
      </c>
      <c r="E122" s="3" t="s">
        <v>593</v>
      </c>
    </row>
    <row r="123" spans="1:5" ht="30.6">
      <c r="A123" s="4" t="s">
        <v>408</v>
      </c>
      <c r="B123" s="7" t="s">
        <v>409</v>
      </c>
      <c r="C123" s="5">
        <v>6</v>
      </c>
      <c r="D123" s="9">
        <v>2539.2739018719299</v>
      </c>
      <c r="E123" s="3" t="s">
        <v>593</v>
      </c>
    </row>
    <row r="124" spans="1:5">
      <c r="A124" s="4" t="s">
        <v>410</v>
      </c>
      <c r="B124" s="7" t="s">
        <v>411</v>
      </c>
      <c r="C124" s="5">
        <v>21</v>
      </c>
      <c r="D124" s="9">
        <v>43.941274925238602</v>
      </c>
      <c r="E124" s="3" t="s">
        <v>594</v>
      </c>
    </row>
    <row r="125" spans="1:5">
      <c r="A125" s="4" t="s">
        <v>412</v>
      </c>
      <c r="B125" s="7" t="s">
        <v>595</v>
      </c>
      <c r="C125" s="5">
        <v>43</v>
      </c>
      <c r="D125" s="9">
        <v>9.9561322078285404</v>
      </c>
      <c r="E125" s="3" t="s">
        <v>11</v>
      </c>
    </row>
    <row r="126" spans="1:5">
      <c r="A126" s="4" t="s">
        <v>414</v>
      </c>
      <c r="B126" s="7" t="s">
        <v>415</v>
      </c>
      <c r="C126" s="5">
        <v>16</v>
      </c>
      <c r="D126" s="9">
        <v>38.074840018332601</v>
      </c>
      <c r="E126" s="3" t="s">
        <v>11</v>
      </c>
    </row>
    <row r="127" spans="1:5">
      <c r="A127" s="4" t="s">
        <v>417</v>
      </c>
      <c r="B127" s="7" t="s">
        <v>418</v>
      </c>
      <c r="C127" s="5">
        <v>13</v>
      </c>
      <c r="D127" s="9">
        <v>25.665933681981201</v>
      </c>
      <c r="E127" s="3" t="s">
        <v>533</v>
      </c>
    </row>
    <row r="128" spans="1:5">
      <c r="A128" s="4" t="s">
        <v>420</v>
      </c>
      <c r="B128" s="7" t="s">
        <v>421</v>
      </c>
      <c r="C128" s="5">
        <v>17</v>
      </c>
      <c r="D128" s="9">
        <v>141.494045938472</v>
      </c>
      <c r="E128" s="3" t="s">
        <v>596</v>
      </c>
    </row>
    <row r="129" spans="1:5">
      <c r="A129" s="4" t="s">
        <v>423</v>
      </c>
      <c r="B129" s="7" t="s">
        <v>424</v>
      </c>
      <c r="C129" s="5">
        <v>183</v>
      </c>
      <c r="D129" s="9">
        <v>518.60345439804996</v>
      </c>
      <c r="E129" s="3" t="s">
        <v>596</v>
      </c>
    </row>
    <row r="130" spans="1:5">
      <c r="A130" s="4" t="s">
        <v>427</v>
      </c>
      <c r="B130" s="7" t="s">
        <v>428</v>
      </c>
      <c r="C130" s="5">
        <v>6</v>
      </c>
      <c r="D130" s="9">
        <v>7.5263278980235304</v>
      </c>
      <c r="E130" s="3" t="s">
        <v>515</v>
      </c>
    </row>
    <row r="131" spans="1:5">
      <c r="A131" s="4" t="s">
        <v>430</v>
      </c>
      <c r="B131" s="7" t="s">
        <v>431</v>
      </c>
      <c r="C131" s="5">
        <v>18</v>
      </c>
      <c r="D131" s="9">
        <v>53.114080869864402</v>
      </c>
      <c r="E131" s="3" t="s">
        <v>11</v>
      </c>
    </row>
    <row r="132" spans="1:5" ht="30.6">
      <c r="A132" s="8" t="s">
        <v>433</v>
      </c>
      <c r="B132" s="7" t="s">
        <v>597</v>
      </c>
      <c r="C132" s="5">
        <v>35</v>
      </c>
      <c r="D132" s="9">
        <v>132.88912929090799</v>
      </c>
    </row>
    <row r="133" spans="1:5">
      <c r="A133" s="8" t="s">
        <v>494</v>
      </c>
      <c r="B133" s="7" t="s">
        <v>598</v>
      </c>
      <c r="C133" s="5">
        <v>42</v>
      </c>
      <c r="D133" s="9">
        <v>134.253149297146</v>
      </c>
      <c r="E133" s="3" t="s">
        <v>599</v>
      </c>
    </row>
    <row r="134" spans="1:5" ht="30.6">
      <c r="A134" s="8" t="s">
        <v>495</v>
      </c>
      <c r="B134" s="7" t="s">
        <v>600</v>
      </c>
      <c r="C134" s="5">
        <v>123</v>
      </c>
      <c r="D134" s="9">
        <v>116.502763423999</v>
      </c>
      <c r="E134" s="3" t="s">
        <v>601</v>
      </c>
    </row>
    <row r="135" spans="1:5">
      <c r="A135" s="4" t="s">
        <v>442</v>
      </c>
      <c r="B135" s="7" t="s">
        <v>602</v>
      </c>
      <c r="C135" s="5">
        <v>12</v>
      </c>
      <c r="D135" s="9">
        <v>271.68622833457499</v>
      </c>
      <c r="E135" s="3" t="s">
        <v>603</v>
      </c>
    </row>
    <row r="136" spans="1:5">
      <c r="A136" s="8" t="s">
        <v>496</v>
      </c>
      <c r="B136" s="7" t="s">
        <v>446</v>
      </c>
      <c r="C136" s="5">
        <v>55</v>
      </c>
      <c r="D136" s="9">
        <v>22.576368574753999</v>
      </c>
      <c r="E136" s="4" t="s">
        <v>604</v>
      </c>
    </row>
    <row r="137" spans="1:5">
      <c r="A137" s="8" t="s">
        <v>448</v>
      </c>
      <c r="B137" s="7" t="s">
        <v>449</v>
      </c>
      <c r="C137" s="5">
        <v>56</v>
      </c>
      <c r="D137" s="9">
        <v>26.910487825786401</v>
      </c>
      <c r="E137" s="3" t="s">
        <v>605</v>
      </c>
    </row>
    <row r="138" spans="1:5" ht="30.6">
      <c r="A138" s="8" t="s">
        <v>451</v>
      </c>
      <c r="B138" s="7" t="s">
        <v>452</v>
      </c>
      <c r="C138" s="5">
        <v>61</v>
      </c>
      <c r="D138" s="9">
        <v>64.101410092270001</v>
      </c>
      <c r="E138" s="3" t="s">
        <v>606</v>
      </c>
    </row>
    <row r="139" spans="1:5" ht="61.2">
      <c r="A139" s="8" t="s">
        <v>498</v>
      </c>
      <c r="B139" s="7" t="s">
        <v>607</v>
      </c>
      <c r="C139" s="5">
        <v>34</v>
      </c>
      <c r="D139" s="9">
        <v>53.386590302643299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"/>
  <sheetViews>
    <sheetView zoomScale="145" zoomScaleNormal="145" workbookViewId="0">
      <selection activeCell="E19" sqref="E19"/>
    </sheetView>
  </sheetViews>
  <sheetFormatPr defaultColWidth="8.87890625" defaultRowHeight="15.3"/>
  <cols>
    <col min="1" max="1" width="15.76171875" style="3" customWidth="1"/>
    <col min="2" max="4" width="8.87890625" style="3"/>
    <col min="5" max="5" width="28.3515625" style="3" customWidth="1"/>
    <col min="6" max="8" width="8.87890625" style="3"/>
    <col min="9" max="10" width="28.52734375" style="3" customWidth="1"/>
    <col min="11" max="16384" width="8.87890625" style="3"/>
  </cols>
  <sheetData>
    <row r="1" spans="1:18">
      <c r="A1" s="8" t="s">
        <v>608</v>
      </c>
      <c r="B1" s="3" t="s">
        <v>609</v>
      </c>
    </row>
    <row r="2" spans="1:18">
      <c r="A2" s="8" t="s">
        <v>610</v>
      </c>
      <c r="B2" s="3" t="s">
        <v>611</v>
      </c>
    </row>
    <row r="3" spans="1:18">
      <c r="A3" s="8" t="s">
        <v>612</v>
      </c>
      <c r="B3" s="11" t="s">
        <v>613</v>
      </c>
    </row>
    <row r="5" spans="1:18" ht="61.2">
      <c r="A5" s="8" t="s">
        <v>614</v>
      </c>
      <c r="B5" s="8" t="s">
        <v>434</v>
      </c>
      <c r="C5" s="8" t="s">
        <v>473</v>
      </c>
      <c r="D5" s="8" t="s">
        <v>435</v>
      </c>
      <c r="E5" s="3" t="s">
        <v>615</v>
      </c>
      <c r="F5" s="5">
        <v>20</v>
      </c>
      <c r="G5" s="5"/>
      <c r="I5" s="7" t="s">
        <v>616</v>
      </c>
      <c r="J5" s="12" t="s">
        <v>28</v>
      </c>
      <c r="K5" s="3">
        <v>2021</v>
      </c>
      <c r="L5" s="5"/>
      <c r="M5" s="5"/>
      <c r="N5" s="5"/>
      <c r="Q5" s="3" t="s">
        <v>617</v>
      </c>
    </row>
    <row r="6" spans="1:18" ht="45.9">
      <c r="A6" s="8" t="s">
        <v>618</v>
      </c>
      <c r="B6" s="8" t="s">
        <v>434</v>
      </c>
      <c r="C6" s="8" t="s">
        <v>473</v>
      </c>
      <c r="D6" s="8" t="s">
        <v>435</v>
      </c>
      <c r="E6" s="3" t="s">
        <v>619</v>
      </c>
      <c r="F6" s="5">
        <v>4</v>
      </c>
      <c r="G6" s="5"/>
      <c r="I6" s="7" t="s">
        <v>620</v>
      </c>
      <c r="J6" s="12" t="s">
        <v>28</v>
      </c>
      <c r="L6" s="5"/>
      <c r="M6" s="5"/>
      <c r="N6" s="5"/>
      <c r="Q6" s="3" t="s">
        <v>621</v>
      </c>
    </row>
    <row r="7" spans="1:18" ht="61.2">
      <c r="A7" s="4" t="s">
        <v>622</v>
      </c>
      <c r="B7" s="8" t="s">
        <v>88</v>
      </c>
      <c r="C7" s="4" t="s">
        <v>473</v>
      </c>
      <c r="D7" s="8" t="s">
        <v>623</v>
      </c>
      <c r="E7" s="3" t="s">
        <v>141</v>
      </c>
      <c r="F7" s="5">
        <v>50</v>
      </c>
      <c r="G7" s="5"/>
      <c r="H7" s="3" t="s">
        <v>143</v>
      </c>
      <c r="I7" s="7" t="s">
        <v>624</v>
      </c>
      <c r="J7" s="12" t="s">
        <v>33</v>
      </c>
      <c r="K7" s="3">
        <v>2023</v>
      </c>
      <c r="L7" s="5"/>
      <c r="M7" s="5"/>
      <c r="N7" s="5"/>
      <c r="Q7" s="3" t="s">
        <v>625</v>
      </c>
      <c r="R7" s="3" t="s">
        <v>626</v>
      </c>
    </row>
  </sheetData>
  <hyperlinks>
    <hyperlink ref="B3" r:id="rId1" tooltip="DOI URL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9"/>
  <sheetViews>
    <sheetView topLeftCell="A28" zoomScale="115" zoomScaleNormal="115" workbookViewId="0">
      <selection activeCell="C56" sqref="C56"/>
    </sheetView>
  </sheetViews>
  <sheetFormatPr defaultColWidth="8.76171875" defaultRowHeight="15.3"/>
  <cols>
    <col min="1" max="1" width="34.64453125" style="8" customWidth="1"/>
    <col min="2" max="2" width="56" style="8" customWidth="1"/>
    <col min="3" max="3" width="55.41015625" style="8" customWidth="1"/>
    <col min="4" max="7" width="8.76171875" style="8"/>
    <col min="8" max="8" width="46.3515625" style="8" customWidth="1"/>
    <col min="9" max="16384" width="8.76171875" style="8"/>
  </cols>
  <sheetData>
    <row r="1" spans="1:4">
      <c r="A1" s="8" t="s">
        <v>0</v>
      </c>
      <c r="B1" s="8" t="s">
        <v>627</v>
      </c>
      <c r="C1" s="8" t="s">
        <v>628</v>
      </c>
    </row>
    <row r="2" spans="1:4">
      <c r="A2" s="8" t="s">
        <v>629</v>
      </c>
      <c r="B2" s="8" t="s">
        <v>630</v>
      </c>
      <c r="C2" s="8" t="s">
        <v>631</v>
      </c>
      <c r="D2" s="8" t="s">
        <v>632</v>
      </c>
    </row>
    <row r="3" spans="1:4">
      <c r="A3" s="8" t="s">
        <v>633</v>
      </c>
      <c r="B3" s="8" t="s">
        <v>634</v>
      </c>
      <c r="C3" s="8" t="s">
        <v>635</v>
      </c>
      <c r="D3" s="8" t="s">
        <v>636</v>
      </c>
    </row>
    <row r="4" spans="1:4">
      <c r="A4" s="8" t="s">
        <v>637</v>
      </c>
      <c r="B4" s="8" t="s">
        <v>609</v>
      </c>
      <c r="C4" s="8" t="s">
        <v>635</v>
      </c>
    </row>
    <row r="5" spans="1:4">
      <c r="A5" s="8" t="s">
        <v>638</v>
      </c>
      <c r="B5" s="8" t="s">
        <v>639</v>
      </c>
      <c r="C5" s="8" t="s">
        <v>635</v>
      </c>
      <c r="D5" s="8" t="s">
        <v>640</v>
      </c>
    </row>
    <row r="6" spans="1:4">
      <c r="A6" s="8" t="s">
        <v>641</v>
      </c>
      <c r="B6" s="8" t="s">
        <v>642</v>
      </c>
      <c r="C6" s="8" t="s">
        <v>635</v>
      </c>
    </row>
    <row r="7" spans="1:4">
      <c r="A7" s="8" t="s">
        <v>643</v>
      </c>
      <c r="B7" s="8" t="s">
        <v>644</v>
      </c>
      <c r="C7" s="8" t="s">
        <v>645</v>
      </c>
      <c r="D7" s="8" t="s">
        <v>646</v>
      </c>
    </row>
    <row r="8" spans="1:4">
      <c r="A8" s="8" t="s">
        <v>647</v>
      </c>
      <c r="B8" s="8" t="s">
        <v>648</v>
      </c>
      <c r="C8" s="8" t="s">
        <v>635</v>
      </c>
    </row>
    <row r="9" spans="1:4">
      <c r="A9" s="8" t="s">
        <v>649</v>
      </c>
      <c r="B9" s="8" t="s">
        <v>650</v>
      </c>
      <c r="C9" s="8" t="s">
        <v>635</v>
      </c>
      <c r="D9" s="8" t="s">
        <v>651</v>
      </c>
    </row>
    <row r="10" spans="1:4">
      <c r="A10" s="8" t="s">
        <v>652</v>
      </c>
      <c r="C10" s="8" t="s">
        <v>635</v>
      </c>
      <c r="D10" s="8" t="s">
        <v>653</v>
      </c>
    </row>
    <row r="11" spans="1:4">
      <c r="A11" s="8" t="s">
        <v>654</v>
      </c>
      <c r="B11" s="8" t="s">
        <v>655</v>
      </c>
      <c r="C11" s="8" t="s">
        <v>656</v>
      </c>
      <c r="D11" s="8" t="s">
        <v>657</v>
      </c>
    </row>
    <row r="12" spans="1:4">
      <c r="A12" s="8" t="s">
        <v>658</v>
      </c>
      <c r="B12" s="8" t="s">
        <v>659</v>
      </c>
      <c r="D12" s="8" t="s">
        <v>660</v>
      </c>
    </row>
    <row r="13" spans="1:4">
      <c r="A13" s="8" t="s">
        <v>661</v>
      </c>
      <c r="B13" s="8" t="s">
        <v>662</v>
      </c>
      <c r="C13" s="8" t="s">
        <v>663</v>
      </c>
      <c r="D13" s="8" t="s">
        <v>664</v>
      </c>
    </row>
    <row r="14" spans="1:4">
      <c r="A14" s="8" t="s">
        <v>665</v>
      </c>
      <c r="B14" s="8" t="s">
        <v>666</v>
      </c>
      <c r="C14" s="8" t="s">
        <v>667</v>
      </c>
      <c r="D14" s="8" t="s">
        <v>668</v>
      </c>
    </row>
    <row r="15" spans="1:4">
      <c r="A15" s="8" t="s">
        <v>669</v>
      </c>
      <c r="B15" s="8" t="s">
        <v>670</v>
      </c>
      <c r="C15" s="8" t="s">
        <v>671</v>
      </c>
      <c r="D15" s="8" t="s">
        <v>672</v>
      </c>
    </row>
    <row r="16" spans="1:4">
      <c r="A16" s="8" t="s">
        <v>673</v>
      </c>
      <c r="B16" s="8" t="s">
        <v>674</v>
      </c>
      <c r="C16" s="8" t="s">
        <v>675</v>
      </c>
      <c r="D16" s="8" t="s">
        <v>18</v>
      </c>
    </row>
    <row r="17" spans="1:4">
      <c r="A17" s="8" t="s">
        <v>471</v>
      </c>
      <c r="B17" s="8" t="s">
        <v>676</v>
      </c>
      <c r="C17" s="8" t="s">
        <v>677</v>
      </c>
      <c r="D17" s="8" t="s">
        <v>29</v>
      </c>
    </row>
    <row r="18" spans="1:4">
      <c r="A18" s="8" t="s">
        <v>678</v>
      </c>
      <c r="B18" s="8" t="s">
        <v>679</v>
      </c>
      <c r="C18" s="8" t="s">
        <v>680</v>
      </c>
      <c r="D18" s="8" t="s">
        <v>681</v>
      </c>
    </row>
    <row r="19" spans="1:4">
      <c r="A19" s="8" t="s">
        <v>652</v>
      </c>
      <c r="C19" s="8" t="s">
        <v>682</v>
      </c>
      <c r="D19" s="8" t="s">
        <v>653</v>
      </c>
    </row>
    <row r="20" spans="1:4">
      <c r="A20" s="8" t="s">
        <v>683</v>
      </c>
      <c r="B20" s="8" t="s">
        <v>684</v>
      </c>
      <c r="C20" s="8" t="s">
        <v>685</v>
      </c>
      <c r="D20" s="8" t="s">
        <v>686</v>
      </c>
    </row>
    <row r="21" spans="1:4">
      <c r="A21" s="8" t="s">
        <v>687</v>
      </c>
      <c r="B21" s="8" t="s">
        <v>688</v>
      </c>
      <c r="C21" s="8" t="s">
        <v>689</v>
      </c>
      <c r="D21" s="8" t="s">
        <v>690</v>
      </c>
    </row>
    <row r="22" spans="1:4">
      <c r="A22" s="8" t="s">
        <v>691</v>
      </c>
      <c r="B22" s="8" t="s">
        <v>692</v>
      </c>
      <c r="C22" s="8" t="s">
        <v>635</v>
      </c>
      <c r="D22" s="8" t="s">
        <v>693</v>
      </c>
    </row>
    <row r="23" spans="1:4">
      <c r="A23" s="8" t="s">
        <v>694</v>
      </c>
      <c r="B23" s="8" t="s">
        <v>695</v>
      </c>
      <c r="C23" s="8" t="s">
        <v>635</v>
      </c>
      <c r="D23" s="8" t="s">
        <v>696</v>
      </c>
    </row>
    <row r="24" spans="1:4">
      <c r="A24" s="8" t="s">
        <v>697</v>
      </c>
      <c r="B24" s="8" t="s">
        <v>698</v>
      </c>
      <c r="C24" s="8" t="s">
        <v>699</v>
      </c>
      <c r="D24" s="8" t="s">
        <v>700</v>
      </c>
    </row>
    <row r="25" spans="1:4">
      <c r="A25" s="8" t="s">
        <v>701</v>
      </c>
      <c r="B25" s="8" t="s">
        <v>702</v>
      </c>
      <c r="C25" s="8" t="s">
        <v>699</v>
      </c>
      <c r="D25" s="8" t="s">
        <v>703</v>
      </c>
    </row>
    <row r="26" spans="1:4">
      <c r="A26" s="8" t="s">
        <v>704</v>
      </c>
      <c r="B26" s="8" t="s">
        <v>705</v>
      </c>
      <c r="C26" s="8" t="s">
        <v>706</v>
      </c>
      <c r="D26" s="8" t="s">
        <v>707</v>
      </c>
    </row>
    <row r="27" spans="1:4">
      <c r="A27" s="8" t="s">
        <v>708</v>
      </c>
      <c r="C27" s="8" t="s">
        <v>706</v>
      </c>
    </row>
    <row r="28" spans="1:4">
      <c r="A28" s="8" t="s">
        <v>709</v>
      </c>
      <c r="B28" s="8" t="s">
        <v>710</v>
      </c>
      <c r="C28" s="8" t="s">
        <v>706</v>
      </c>
    </row>
    <row r="29" spans="1:4">
      <c r="A29" s="8" t="s">
        <v>711</v>
      </c>
      <c r="B29" s="8" t="s">
        <v>712</v>
      </c>
      <c r="C29" s="8" t="s">
        <v>713</v>
      </c>
    </row>
    <row r="30" spans="1:4">
      <c r="A30" s="8" t="s">
        <v>714</v>
      </c>
      <c r="B30" s="8" t="s">
        <v>715</v>
      </c>
      <c r="C30" s="8" t="s">
        <v>706</v>
      </c>
    </row>
    <row r="31" spans="1:4">
      <c r="A31" s="8" t="s">
        <v>716</v>
      </c>
      <c r="B31" s="8" t="s">
        <v>717</v>
      </c>
      <c r="C31" s="8" t="s">
        <v>718</v>
      </c>
      <c r="D31" s="8" t="s">
        <v>719</v>
      </c>
    </row>
    <row r="32" spans="1:4">
      <c r="A32" s="8" t="s">
        <v>720</v>
      </c>
      <c r="B32" s="8" t="s">
        <v>721</v>
      </c>
      <c r="C32" s="8" t="s">
        <v>722</v>
      </c>
      <c r="D32" s="8" t="s">
        <v>664</v>
      </c>
    </row>
    <row r="33" spans="1:12">
      <c r="A33" s="8" t="s">
        <v>723</v>
      </c>
      <c r="B33" s="8" t="s">
        <v>724</v>
      </c>
      <c r="C33" s="8" t="s">
        <v>725</v>
      </c>
      <c r="D33" s="8" t="s">
        <v>726</v>
      </c>
    </row>
    <row r="34" spans="1:12">
      <c r="A34" s="8" t="s">
        <v>727</v>
      </c>
      <c r="B34" s="8" t="s">
        <v>728</v>
      </c>
      <c r="C34" s="8" t="s">
        <v>729</v>
      </c>
      <c r="D34" s="8" t="s">
        <v>125</v>
      </c>
    </row>
    <row r="35" spans="1:12">
      <c r="A35" s="8" t="s">
        <v>730</v>
      </c>
      <c r="B35" s="8" t="s">
        <v>731</v>
      </c>
      <c r="C35" s="8" t="s">
        <v>732</v>
      </c>
      <c r="D35" s="8" t="s">
        <v>125</v>
      </c>
    </row>
    <row r="36" spans="1:12">
      <c r="A36" s="8" t="s">
        <v>733</v>
      </c>
      <c r="B36" s="8" t="s">
        <v>734</v>
      </c>
      <c r="D36" s="8" t="s">
        <v>735</v>
      </c>
    </row>
    <row r="37" spans="1:12">
      <c r="A37" s="8" t="s">
        <v>736</v>
      </c>
      <c r="B37" s="8" t="s">
        <v>737</v>
      </c>
    </row>
    <row r="38" spans="1:12">
      <c r="A38" s="8" t="s">
        <v>738</v>
      </c>
      <c r="B38" s="8" t="s">
        <v>739</v>
      </c>
      <c r="D38" s="8" t="s">
        <v>740</v>
      </c>
    </row>
    <row r="39" spans="1:12">
      <c r="A39" s="8" t="s">
        <v>741</v>
      </c>
    </row>
    <row r="40" spans="1:12">
      <c r="A40" s="8" t="s">
        <v>742</v>
      </c>
      <c r="B40" s="8" t="s">
        <v>743</v>
      </c>
      <c r="C40" s="8" t="s">
        <v>744</v>
      </c>
      <c r="D40" s="8" t="s">
        <v>745</v>
      </c>
    </row>
    <row r="41" spans="1:12">
      <c r="A41" s="8" t="s">
        <v>746</v>
      </c>
      <c r="B41" s="8" t="s">
        <v>747</v>
      </c>
      <c r="C41" s="8" t="s">
        <v>748</v>
      </c>
      <c r="D41" s="8" t="s">
        <v>749</v>
      </c>
    </row>
    <row r="42" spans="1:12">
      <c r="A42" s="8" t="s">
        <v>750</v>
      </c>
      <c r="B42" s="8" t="s">
        <v>751</v>
      </c>
      <c r="C42" s="8" t="s">
        <v>752</v>
      </c>
      <c r="D42" s="8" t="s">
        <v>753</v>
      </c>
    </row>
    <row r="43" spans="1:12">
      <c r="A43" s="8" t="s">
        <v>754</v>
      </c>
      <c r="B43" s="8" t="s">
        <v>755</v>
      </c>
      <c r="C43" s="8" t="s">
        <v>756</v>
      </c>
      <c r="H43" s="8" t="s">
        <v>757</v>
      </c>
      <c r="I43" s="8">
        <v>2021</v>
      </c>
      <c r="L43" s="8" t="s">
        <v>758</v>
      </c>
    </row>
    <row r="44" spans="1:12">
      <c r="A44" s="8" t="s">
        <v>759</v>
      </c>
      <c r="B44" s="8" t="s">
        <v>760</v>
      </c>
      <c r="C44" s="8">
        <v>41</v>
      </c>
      <c r="G44" s="8">
        <v>2</v>
      </c>
      <c r="H44" s="8" t="s">
        <v>761</v>
      </c>
      <c r="I44" s="8">
        <v>2018</v>
      </c>
      <c r="J44" s="8" t="s">
        <v>762</v>
      </c>
      <c r="L44" s="8" t="s">
        <v>763</v>
      </c>
    </row>
    <row r="45" spans="1:12">
      <c r="A45" s="8" t="s">
        <v>764</v>
      </c>
      <c r="B45" s="8" t="s">
        <v>765</v>
      </c>
      <c r="C45" s="8">
        <v>60</v>
      </c>
      <c r="H45" s="8" t="s">
        <v>766</v>
      </c>
      <c r="I45" s="8">
        <v>2018</v>
      </c>
      <c r="L45" s="8" t="s">
        <v>767</v>
      </c>
    </row>
    <row r="46" spans="1:12">
      <c r="A46" s="8" t="s">
        <v>768</v>
      </c>
      <c r="B46" s="8" t="s">
        <v>769</v>
      </c>
      <c r="C46" s="8">
        <v>20</v>
      </c>
      <c r="H46" s="8" t="s">
        <v>770</v>
      </c>
      <c r="I46" s="8">
        <v>2017</v>
      </c>
      <c r="L46" s="8" t="s">
        <v>771</v>
      </c>
    </row>
    <row r="47" spans="1:12">
      <c r="A47" s="8" t="s">
        <v>772</v>
      </c>
      <c r="B47" s="8" t="s">
        <v>773</v>
      </c>
      <c r="C47" s="8" t="s">
        <v>774</v>
      </c>
      <c r="H47" s="8" t="s">
        <v>775</v>
      </c>
      <c r="I47" s="8" t="s">
        <v>776</v>
      </c>
      <c r="L47" s="8" t="s">
        <v>777</v>
      </c>
    </row>
    <row r="48" spans="1:12">
      <c r="A48" s="8" t="s">
        <v>778</v>
      </c>
      <c r="B48" s="8" t="s">
        <v>779</v>
      </c>
      <c r="C48" s="8" t="s">
        <v>780</v>
      </c>
      <c r="H48" s="8" t="s">
        <v>781</v>
      </c>
      <c r="I48" s="8">
        <v>2021</v>
      </c>
      <c r="J48" s="8" t="s">
        <v>782</v>
      </c>
      <c r="L48" s="8" t="s">
        <v>783</v>
      </c>
    </row>
    <row r="49" spans="1:19">
      <c r="A49" s="8" t="s">
        <v>784</v>
      </c>
      <c r="B49" s="8" t="s">
        <v>785</v>
      </c>
      <c r="C49" s="8">
        <v>25</v>
      </c>
      <c r="H49" s="8" t="s">
        <v>786</v>
      </c>
      <c r="I49" s="8">
        <v>2016</v>
      </c>
      <c r="L49" s="8" t="s">
        <v>787</v>
      </c>
    </row>
    <row r="51" spans="1:19">
      <c r="A51" s="8" t="s">
        <v>788</v>
      </c>
      <c r="B51" s="8" t="s">
        <v>789</v>
      </c>
      <c r="C51" s="8">
        <v>24</v>
      </c>
      <c r="D51" s="8" t="s">
        <v>790</v>
      </c>
      <c r="G51" s="8" t="s">
        <v>791</v>
      </c>
      <c r="H51" s="8" t="s">
        <v>792</v>
      </c>
      <c r="J51" s="8">
        <v>2016</v>
      </c>
      <c r="P51" s="8" t="s">
        <v>793</v>
      </c>
    </row>
    <row r="52" spans="1:19">
      <c r="A52" s="8" t="s">
        <v>794</v>
      </c>
      <c r="B52" s="8" t="s">
        <v>184</v>
      </c>
      <c r="C52" s="8" t="s">
        <v>795</v>
      </c>
      <c r="D52" s="8" t="s">
        <v>796</v>
      </c>
      <c r="H52" s="8" t="s">
        <v>797</v>
      </c>
      <c r="J52" s="8">
        <v>2015</v>
      </c>
      <c r="K52" s="8" t="s">
        <v>798</v>
      </c>
      <c r="N52" s="8" t="s">
        <v>794</v>
      </c>
      <c r="P52" s="8" t="s">
        <v>799</v>
      </c>
    </row>
    <row r="53" spans="1:19">
      <c r="A53" s="8" t="s">
        <v>800</v>
      </c>
      <c r="B53" s="8" t="s">
        <v>664</v>
      </c>
      <c r="C53" s="8" t="s">
        <v>801</v>
      </c>
      <c r="D53" s="8" t="s">
        <v>796</v>
      </c>
      <c r="H53" s="8" t="s">
        <v>802</v>
      </c>
      <c r="J53" s="8">
        <v>2012</v>
      </c>
      <c r="K53" s="8" t="s">
        <v>803</v>
      </c>
      <c r="N53" s="8" t="s">
        <v>800</v>
      </c>
      <c r="P53" s="8" t="s">
        <v>804</v>
      </c>
    </row>
    <row r="54" spans="1:19">
      <c r="A54" s="8" t="s">
        <v>805</v>
      </c>
      <c r="B54" s="8" t="s">
        <v>806</v>
      </c>
      <c r="C54" s="8" t="s">
        <v>807</v>
      </c>
      <c r="D54" s="8" t="s">
        <v>796</v>
      </c>
      <c r="H54" s="8" t="s">
        <v>808</v>
      </c>
      <c r="J54" s="8">
        <v>2015</v>
      </c>
      <c r="K54" s="8" t="s">
        <v>809</v>
      </c>
      <c r="N54" s="8" t="s">
        <v>805</v>
      </c>
      <c r="P54" s="8" t="s">
        <v>810</v>
      </c>
    </row>
    <row r="55" spans="1:19">
      <c r="A55" s="8" t="s">
        <v>811</v>
      </c>
      <c r="B55" s="8" t="s">
        <v>664</v>
      </c>
      <c r="C55" s="8" t="s">
        <v>812</v>
      </c>
      <c r="D55" s="8" t="s">
        <v>796</v>
      </c>
      <c r="H55" s="8" t="s">
        <v>813</v>
      </c>
      <c r="J55" s="8">
        <v>2013</v>
      </c>
      <c r="K55" s="8" t="s">
        <v>814</v>
      </c>
      <c r="N55" s="8" t="s">
        <v>811</v>
      </c>
      <c r="P55" s="8" t="s">
        <v>537</v>
      </c>
    </row>
    <row r="56" spans="1:19">
      <c r="A56" s="8" t="s">
        <v>815</v>
      </c>
      <c r="B56" s="8" t="s">
        <v>664</v>
      </c>
      <c r="C56" s="8" t="s">
        <v>812</v>
      </c>
      <c r="D56" s="8" t="s">
        <v>796</v>
      </c>
      <c r="H56" s="8" t="s">
        <v>816</v>
      </c>
      <c r="J56" s="8">
        <v>2013</v>
      </c>
      <c r="K56" s="8" t="s">
        <v>817</v>
      </c>
      <c r="N56" s="8" t="s">
        <v>815</v>
      </c>
      <c r="P56" s="8" t="s">
        <v>537</v>
      </c>
    </row>
    <row r="57" spans="1:19">
      <c r="A57" s="8" t="s">
        <v>818</v>
      </c>
      <c r="B57" s="8" t="s">
        <v>60</v>
      </c>
      <c r="C57" s="8">
        <v>20</v>
      </c>
      <c r="D57" s="8" t="s">
        <v>819</v>
      </c>
      <c r="H57" s="8" t="s">
        <v>820</v>
      </c>
      <c r="I57" s="8" t="s">
        <v>48</v>
      </c>
      <c r="J57" s="8">
        <v>2012</v>
      </c>
      <c r="K57" s="8">
        <v>30.21</v>
      </c>
      <c r="N57" s="8" t="s">
        <v>818</v>
      </c>
      <c r="P57" s="8" t="s">
        <v>821</v>
      </c>
    </row>
    <row r="58" spans="1:19" s="3" customFormat="1" ht="30.6">
      <c r="A58" s="4" t="s">
        <v>487</v>
      </c>
      <c r="B58" s="3" t="s">
        <v>129</v>
      </c>
      <c r="C58" s="7" t="s">
        <v>551</v>
      </c>
      <c r="D58" s="8" t="s">
        <v>796</v>
      </c>
      <c r="E58" s="3" t="s">
        <v>129</v>
      </c>
      <c r="F58" s="5">
        <v>10</v>
      </c>
      <c r="G58" s="5">
        <v>0.3</v>
      </c>
      <c r="H58" s="3" t="s">
        <v>822</v>
      </c>
      <c r="I58" s="3">
        <v>2015</v>
      </c>
      <c r="J58" s="9">
        <v>198.16399747543301</v>
      </c>
      <c r="K58" s="9">
        <v>-200.53999165035401</v>
      </c>
      <c r="L58" s="9">
        <v>-196.589992076252</v>
      </c>
      <c r="M58" s="9">
        <v>451.32182494652602</v>
      </c>
      <c r="N58" s="9">
        <v>2.2912406163262999</v>
      </c>
      <c r="O58" s="10" t="s">
        <v>823</v>
      </c>
      <c r="P58" s="10" t="s">
        <v>823</v>
      </c>
      <c r="Q58" s="9">
        <v>1.1783077682873999</v>
      </c>
      <c r="R58" s="9">
        <v>5.9471421472260602E-3</v>
      </c>
      <c r="S58" s="3" t="s">
        <v>824</v>
      </c>
    </row>
    <row r="59" spans="1:19" s="3" customFormat="1">
      <c r="A59" s="4" t="s">
        <v>488</v>
      </c>
      <c r="B59" s="3" t="s">
        <v>241</v>
      </c>
      <c r="C59" s="7" t="s">
        <v>552</v>
      </c>
      <c r="D59" s="8" t="s">
        <v>825</v>
      </c>
      <c r="E59" s="3" t="s">
        <v>241</v>
      </c>
      <c r="F59" s="5">
        <v>8</v>
      </c>
      <c r="G59" s="5">
        <v>1</v>
      </c>
      <c r="I59" s="3">
        <v>2015</v>
      </c>
      <c r="J59" s="9">
        <v>46.960848146701103</v>
      </c>
      <c r="K59" s="9">
        <v>-48.309997833339303</v>
      </c>
      <c r="L59" s="9">
        <v>-45.4199979304802</v>
      </c>
      <c r="M59" s="9">
        <v>94.909506872876193</v>
      </c>
      <c r="N59" s="9">
        <v>2.00334518539665</v>
      </c>
      <c r="O59" s="10" t="s">
        <v>823</v>
      </c>
      <c r="P59" s="10" t="s">
        <v>823</v>
      </c>
      <c r="Q59" s="9">
        <v>0.43336718962405801</v>
      </c>
      <c r="R59" s="9">
        <v>9.3015245708917699E-3</v>
      </c>
      <c r="S59" s="3" t="s">
        <v>826</v>
      </c>
    </row>
  </sheetData>
  <conditionalFormatting sqref="N5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max"/>
        <color rgb="FFF8696B"/>
        <color rgb="FFFCFCFF"/>
      </colorScale>
    </cfRule>
  </conditionalFormatting>
  <conditionalFormatting sqref="N5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8696B"/>
        <color rgb="FFFCFCFF"/>
      </colorScale>
    </cfRule>
  </conditionalFormatting>
  <conditionalFormatting sqref="Q5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"/>
  <sheetViews>
    <sheetView workbookViewId="0">
      <selection activeCell="E1" sqref="E1"/>
    </sheetView>
  </sheetViews>
  <sheetFormatPr defaultColWidth="9" defaultRowHeight="12.6"/>
  <cols>
    <col min="5" max="5" width="37" customWidth="1"/>
  </cols>
  <sheetData>
    <row r="1" spans="1:16" s="3" customFormat="1" ht="15.3">
      <c r="A1" s="3" t="s">
        <v>827</v>
      </c>
      <c r="B1" s="4"/>
      <c r="E1" s="3" t="s">
        <v>828</v>
      </c>
      <c r="F1" s="5">
        <v>7</v>
      </c>
      <c r="G1" s="6">
        <v>5.0000000000000002E-5</v>
      </c>
      <c r="H1" s="7"/>
      <c r="J1" s="3">
        <v>2017</v>
      </c>
      <c r="K1" s="5"/>
      <c r="L1" s="5"/>
      <c r="M1" s="5"/>
      <c r="P1" s="3" t="s">
        <v>829</v>
      </c>
    </row>
    <row r="2" spans="1:16" s="3" customFormat="1" ht="15.3">
      <c r="A2" s="3" t="s">
        <v>830</v>
      </c>
      <c r="B2" s="4"/>
      <c r="E2" s="3" t="s">
        <v>831</v>
      </c>
      <c r="F2" s="5">
        <f>23+22</f>
        <v>45</v>
      </c>
      <c r="H2" s="7"/>
      <c r="J2" s="3">
        <v>2004</v>
      </c>
      <c r="K2" s="5"/>
      <c r="L2" s="5"/>
      <c r="M2" s="5"/>
      <c r="P2" s="3" t="s">
        <v>832</v>
      </c>
    </row>
    <row r="3" spans="1:16" s="3" customFormat="1" ht="15.3">
      <c r="A3" s="3" t="s">
        <v>833</v>
      </c>
      <c r="B3" s="4"/>
      <c r="E3" s="3" t="s">
        <v>834</v>
      </c>
      <c r="F3" s="5">
        <v>32</v>
      </c>
      <c r="H3" s="7"/>
      <c r="J3" s="3">
        <v>2008</v>
      </c>
      <c r="K3" s="5"/>
      <c r="L3" s="5"/>
      <c r="M3" s="5"/>
      <c r="P3" s="3" t="s">
        <v>835</v>
      </c>
    </row>
    <row r="4" spans="1:16" s="3" customFormat="1" ht="15.3">
      <c r="A4" s="3" t="s">
        <v>836</v>
      </c>
      <c r="B4" s="4"/>
      <c r="E4" s="3" t="s">
        <v>837</v>
      </c>
      <c r="F4" s="5">
        <v>28</v>
      </c>
      <c r="H4" s="7"/>
      <c r="J4" s="3">
        <v>2015</v>
      </c>
      <c r="K4" s="5"/>
      <c r="L4" s="5"/>
      <c r="M4" s="5"/>
      <c r="P4" s="3" t="s">
        <v>838</v>
      </c>
    </row>
    <row r="5" spans="1:16" s="3" customFormat="1" ht="15.3">
      <c r="A5" s="3" t="s">
        <v>839</v>
      </c>
      <c r="B5" s="4"/>
      <c r="E5" s="3" t="s">
        <v>840</v>
      </c>
      <c r="F5" s="5">
        <v>33</v>
      </c>
      <c r="G5" s="6">
        <v>1E-3</v>
      </c>
      <c r="H5" s="7"/>
      <c r="J5" s="3">
        <v>2010</v>
      </c>
      <c r="K5" s="5"/>
      <c r="L5" s="5"/>
      <c r="M5" s="5"/>
      <c r="P5" s="3" t="s">
        <v>841</v>
      </c>
    </row>
    <row r="6" spans="1:16" s="3" customFormat="1" ht="15.3">
      <c r="A6" s="3" t="s">
        <v>842</v>
      </c>
      <c r="B6" s="4"/>
      <c r="E6" s="3" t="s">
        <v>843</v>
      </c>
      <c r="F6" s="5">
        <v>34</v>
      </c>
      <c r="G6" s="6">
        <v>1E-3</v>
      </c>
      <c r="H6" s="7"/>
      <c r="J6" s="3">
        <v>2017</v>
      </c>
      <c r="K6" s="5"/>
      <c r="L6" s="5"/>
      <c r="M6" s="5"/>
      <c r="P6" s="3" t="s">
        <v>844</v>
      </c>
    </row>
    <row r="7" spans="1:16" s="3" customFormat="1" ht="15.3">
      <c r="A7" s="3" t="s">
        <v>845</v>
      </c>
      <c r="B7" s="4"/>
      <c r="E7" s="3" t="s">
        <v>846</v>
      </c>
      <c r="F7" s="5">
        <f>30+30</f>
        <v>60</v>
      </c>
      <c r="H7" s="7"/>
      <c r="J7" s="3">
        <v>2022</v>
      </c>
      <c r="K7" s="5"/>
      <c r="L7" s="5"/>
      <c r="M7" s="5"/>
      <c r="P7" s="3" t="s">
        <v>847</v>
      </c>
    </row>
    <row r="8" spans="1:16" s="3" customFormat="1" ht="15.3">
      <c r="A8" s="3" t="s">
        <v>848</v>
      </c>
      <c r="B8" s="4"/>
      <c r="E8" s="3" t="s">
        <v>843</v>
      </c>
      <c r="F8" s="5">
        <v>36</v>
      </c>
      <c r="H8" s="7"/>
      <c r="J8" s="3">
        <v>2016</v>
      </c>
      <c r="K8" s="5"/>
      <c r="L8" s="5"/>
      <c r="M8" s="5"/>
      <c r="P8" s="3" t="s">
        <v>849</v>
      </c>
    </row>
    <row r="10" spans="1:16">
      <c r="F10">
        <f>SUM(F1:F8)</f>
        <v>275</v>
      </c>
    </row>
  </sheetData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3"/>
  <sheetViews>
    <sheetView zoomScale="130" zoomScaleNormal="130" workbookViewId="0">
      <selection activeCell="C10" sqref="C10"/>
    </sheetView>
  </sheetViews>
  <sheetFormatPr defaultColWidth="9" defaultRowHeight="12.6"/>
  <cols>
    <col min="1" max="1" width="15" customWidth="1"/>
  </cols>
  <sheetData>
    <row r="1" spans="1:5">
      <c r="A1" t="s">
        <v>0</v>
      </c>
      <c r="B1" t="s">
        <v>850</v>
      </c>
      <c r="C1" t="s">
        <v>2</v>
      </c>
      <c r="D1" s="1" t="s">
        <v>851</v>
      </c>
      <c r="E1" s="1" t="s">
        <v>852</v>
      </c>
    </row>
    <row r="2" spans="1:5">
      <c r="A2" t="s">
        <v>189</v>
      </c>
      <c r="B2" t="s">
        <v>15</v>
      </c>
      <c r="C2" t="s">
        <v>853</v>
      </c>
      <c r="D2">
        <v>24</v>
      </c>
    </row>
    <row r="3" spans="1:5">
      <c r="A3" t="s">
        <v>213</v>
      </c>
      <c r="B3" t="s">
        <v>15</v>
      </c>
      <c r="C3" t="s">
        <v>853</v>
      </c>
      <c r="D3">
        <v>14</v>
      </c>
    </row>
    <row r="4" spans="1:5">
      <c r="A4" t="s">
        <v>854</v>
      </c>
      <c r="B4" t="s">
        <v>15</v>
      </c>
      <c r="C4" t="s">
        <v>853</v>
      </c>
      <c r="D4">
        <v>15</v>
      </c>
    </row>
    <row r="5" spans="1:5">
      <c r="A5" t="s">
        <v>233</v>
      </c>
      <c r="B5" t="s">
        <v>15</v>
      </c>
      <c r="C5" t="s">
        <v>853</v>
      </c>
      <c r="D5">
        <v>21</v>
      </c>
    </row>
    <row r="6" spans="1:5">
      <c r="A6" t="s">
        <v>252</v>
      </c>
      <c r="B6" t="s">
        <v>15</v>
      </c>
      <c r="C6" t="s">
        <v>853</v>
      </c>
      <c r="D6">
        <v>184</v>
      </c>
    </row>
    <row r="7" spans="1:5">
      <c r="A7" t="s">
        <v>273</v>
      </c>
      <c r="B7" t="s">
        <v>15</v>
      </c>
      <c r="C7" t="s">
        <v>853</v>
      </c>
      <c r="D7">
        <v>22</v>
      </c>
    </row>
    <row r="8" spans="1:5">
      <c r="A8" t="s">
        <v>294</v>
      </c>
      <c r="B8" t="s">
        <v>15</v>
      </c>
      <c r="C8" t="s">
        <v>853</v>
      </c>
      <c r="D8">
        <v>31</v>
      </c>
    </row>
    <row r="9" spans="1:5">
      <c r="A9" t="s">
        <v>488</v>
      </c>
      <c r="B9" t="s">
        <v>15</v>
      </c>
      <c r="C9" t="s">
        <v>855</v>
      </c>
      <c r="D9">
        <v>8</v>
      </c>
    </row>
    <row r="10" spans="1:5">
      <c r="A10" t="s">
        <v>489</v>
      </c>
      <c r="B10" t="s">
        <v>15</v>
      </c>
      <c r="C10" t="s">
        <v>855</v>
      </c>
      <c r="D10">
        <v>6</v>
      </c>
    </row>
    <row r="11" spans="1:5">
      <c r="A11" t="s">
        <v>243</v>
      </c>
      <c r="B11" t="s">
        <v>15</v>
      </c>
      <c r="C11" t="s">
        <v>855</v>
      </c>
      <c r="D11">
        <v>6</v>
      </c>
    </row>
    <row r="12" spans="1:5">
      <c r="D12">
        <f>SUM(D2:D11)</f>
        <v>331</v>
      </c>
    </row>
    <row r="13" spans="1:5">
      <c r="A13" t="s">
        <v>92</v>
      </c>
      <c r="B13" t="s">
        <v>856</v>
      </c>
      <c r="C13" t="s">
        <v>853</v>
      </c>
      <c r="D13">
        <v>252</v>
      </c>
    </row>
    <row r="14" spans="1:5">
      <c r="A14" t="s">
        <v>202</v>
      </c>
      <c r="B14" t="s">
        <v>856</v>
      </c>
      <c r="C14" t="s">
        <v>853</v>
      </c>
      <c r="D14">
        <v>215</v>
      </c>
    </row>
    <row r="15" spans="1:5">
      <c r="A15" t="s">
        <v>236</v>
      </c>
      <c r="B15" t="s">
        <v>856</v>
      </c>
      <c r="C15" t="s">
        <v>853</v>
      </c>
      <c r="D15">
        <v>30</v>
      </c>
    </row>
    <row r="16" spans="1:5">
      <c r="A16" t="s">
        <v>258</v>
      </c>
      <c r="B16" t="s">
        <v>856</v>
      </c>
      <c r="C16" t="s">
        <v>853</v>
      </c>
      <c r="D16">
        <v>15</v>
      </c>
    </row>
    <row r="17" spans="1:4">
      <c r="A17" t="s">
        <v>276</v>
      </c>
      <c r="B17" t="s">
        <v>856</v>
      </c>
      <c r="C17" t="s">
        <v>853</v>
      </c>
      <c r="D17">
        <v>66</v>
      </c>
    </row>
    <row r="18" spans="1:4">
      <c r="A18" t="s">
        <v>165</v>
      </c>
      <c r="B18" t="s">
        <v>856</v>
      </c>
      <c r="C18" t="s">
        <v>853</v>
      </c>
      <c r="D18">
        <v>528</v>
      </c>
    </row>
    <row r="19" spans="1:4">
      <c r="A19" t="s">
        <v>215</v>
      </c>
      <c r="B19" t="s">
        <v>856</v>
      </c>
      <c r="C19" t="s">
        <v>855</v>
      </c>
      <c r="D19">
        <v>10</v>
      </c>
    </row>
    <row r="20" spans="1:4">
      <c r="A20" t="s">
        <v>278</v>
      </c>
      <c r="B20" t="s">
        <v>856</v>
      </c>
      <c r="C20" t="s">
        <v>855</v>
      </c>
      <c r="D20">
        <v>38</v>
      </c>
    </row>
    <row r="21" spans="1:4">
      <c r="A21" t="s">
        <v>491</v>
      </c>
      <c r="B21" t="s">
        <v>856</v>
      </c>
      <c r="C21" t="s">
        <v>855</v>
      </c>
      <c r="D21">
        <v>31</v>
      </c>
    </row>
    <row r="22" spans="1:4">
      <c r="A22" t="s">
        <v>857</v>
      </c>
      <c r="B22" t="s">
        <v>856</v>
      </c>
      <c r="C22" t="s">
        <v>855</v>
      </c>
      <c r="D22">
        <v>18</v>
      </c>
    </row>
    <row r="23" spans="1:4">
      <c r="A23" t="s">
        <v>289</v>
      </c>
      <c r="B23" t="s">
        <v>856</v>
      </c>
      <c r="C23" t="s">
        <v>855</v>
      </c>
      <c r="D23">
        <v>23</v>
      </c>
    </row>
    <row r="24" spans="1:4">
      <c r="A24" t="s">
        <v>858</v>
      </c>
      <c r="B24" t="s">
        <v>859</v>
      </c>
      <c r="C24" t="s">
        <v>853</v>
      </c>
      <c r="D24">
        <v>207</v>
      </c>
    </row>
    <row r="25" spans="1:4">
      <c r="A25" t="s">
        <v>860</v>
      </c>
      <c r="B25" t="s">
        <v>859</v>
      </c>
      <c r="C25" t="s">
        <v>853</v>
      </c>
      <c r="D25">
        <v>12</v>
      </c>
    </row>
    <row r="26" spans="1:4">
      <c r="A26" t="s">
        <v>861</v>
      </c>
      <c r="B26" t="s">
        <v>859</v>
      </c>
      <c r="C26" t="s">
        <v>853</v>
      </c>
      <c r="D26">
        <v>16</v>
      </c>
    </row>
    <row r="27" spans="1:4">
      <c r="A27" t="s">
        <v>219</v>
      </c>
      <c r="B27" t="s">
        <v>859</v>
      </c>
      <c r="C27" t="s">
        <v>853</v>
      </c>
      <c r="D27">
        <v>49</v>
      </c>
    </row>
    <row r="28" spans="1:4">
      <c r="A28" t="s">
        <v>197</v>
      </c>
      <c r="B28" t="s">
        <v>859</v>
      </c>
      <c r="C28" t="s">
        <v>853</v>
      </c>
      <c r="D28">
        <v>43</v>
      </c>
    </row>
    <row r="29" spans="1:4">
      <c r="A29" t="s">
        <v>862</v>
      </c>
      <c r="B29" t="s">
        <v>859</v>
      </c>
      <c r="C29" t="s">
        <v>855</v>
      </c>
      <c r="D29">
        <v>69</v>
      </c>
    </row>
    <row r="30" spans="1:4">
      <c r="A30" t="s">
        <v>818</v>
      </c>
      <c r="B30" t="s">
        <v>859</v>
      </c>
      <c r="C30" t="s">
        <v>855</v>
      </c>
      <c r="D30">
        <v>20</v>
      </c>
    </row>
    <row r="31" spans="1:4">
      <c r="A31" t="s">
        <v>487</v>
      </c>
      <c r="B31" t="s">
        <v>859</v>
      </c>
      <c r="C31" t="s">
        <v>855</v>
      </c>
      <c r="D31">
        <v>10</v>
      </c>
    </row>
    <row r="32" spans="1:4">
      <c r="A32" t="s">
        <v>863</v>
      </c>
      <c r="B32" t="s">
        <v>859</v>
      </c>
      <c r="C32" t="s">
        <v>855</v>
      </c>
      <c r="D32">
        <v>4</v>
      </c>
    </row>
    <row r="34" spans="1:4">
      <c r="A34" t="s">
        <v>285</v>
      </c>
      <c r="B34" t="s">
        <v>15</v>
      </c>
      <c r="C34" t="s">
        <v>864</v>
      </c>
      <c r="D34">
        <v>13</v>
      </c>
    </row>
    <row r="35" spans="1:4">
      <c r="A35" t="s">
        <v>301</v>
      </c>
      <c r="B35" t="s">
        <v>15</v>
      </c>
      <c r="C35" t="s">
        <v>864</v>
      </c>
      <c r="D35">
        <v>8</v>
      </c>
    </row>
    <row r="36" spans="1:4">
      <c r="A36" t="s">
        <v>198</v>
      </c>
      <c r="B36" t="s">
        <v>856</v>
      </c>
      <c r="C36" t="s">
        <v>864</v>
      </c>
      <c r="D36">
        <v>30</v>
      </c>
    </row>
    <row r="37" spans="1:4">
      <c r="A37" t="s">
        <v>209</v>
      </c>
      <c r="B37" t="s">
        <v>856</v>
      </c>
      <c r="C37" t="s">
        <v>864</v>
      </c>
      <c r="D37">
        <v>20</v>
      </c>
    </row>
    <row r="38" spans="1:4">
      <c r="A38" t="s">
        <v>303</v>
      </c>
      <c r="B38" t="s">
        <v>856</v>
      </c>
      <c r="C38" t="s">
        <v>864</v>
      </c>
      <c r="D38">
        <v>20</v>
      </c>
    </row>
    <row r="39" spans="1:4">
      <c r="D39">
        <v>21</v>
      </c>
    </row>
    <row r="40" spans="1:4">
      <c r="A40" t="s">
        <v>96</v>
      </c>
      <c r="B40" t="s">
        <v>15</v>
      </c>
      <c r="C40" t="s">
        <v>865</v>
      </c>
      <c r="D40">
        <v>11</v>
      </c>
    </row>
    <row r="41" spans="1:4">
      <c r="A41" t="s">
        <v>866</v>
      </c>
      <c r="B41" t="s">
        <v>15</v>
      </c>
      <c r="C41" t="s">
        <v>865</v>
      </c>
      <c r="D41">
        <v>65</v>
      </c>
    </row>
    <row r="42" spans="1:4">
      <c r="A42" t="s">
        <v>93</v>
      </c>
      <c r="B42" t="s">
        <v>856</v>
      </c>
      <c r="C42" t="s">
        <v>865</v>
      </c>
      <c r="D42">
        <v>15</v>
      </c>
    </row>
    <row r="43" spans="1:4">
      <c r="A43" t="s">
        <v>867</v>
      </c>
      <c r="B43" t="s">
        <v>856</v>
      </c>
      <c r="C43" t="s">
        <v>865</v>
      </c>
      <c r="D43">
        <v>11</v>
      </c>
    </row>
    <row r="44" spans="1:4">
      <c r="A44" t="s">
        <v>484</v>
      </c>
      <c r="B44" t="s">
        <v>856</v>
      </c>
      <c r="C44" t="s">
        <v>865</v>
      </c>
      <c r="D44">
        <v>14</v>
      </c>
    </row>
    <row r="45" spans="1:4">
      <c r="A45" t="s">
        <v>486</v>
      </c>
      <c r="B45" t="s">
        <v>856</v>
      </c>
      <c r="C45" t="s">
        <v>865</v>
      </c>
      <c r="D45">
        <v>31</v>
      </c>
    </row>
    <row r="46" spans="1:4">
      <c r="A46" t="s">
        <v>868</v>
      </c>
      <c r="B46" t="s">
        <v>856</v>
      </c>
      <c r="C46" t="s">
        <v>865</v>
      </c>
      <c r="D46">
        <v>18</v>
      </c>
    </row>
    <row r="47" spans="1:4">
      <c r="A47" t="s">
        <v>482</v>
      </c>
      <c r="B47" t="s">
        <v>859</v>
      </c>
      <c r="C47" t="s">
        <v>865</v>
      </c>
      <c r="D47">
        <v>5</v>
      </c>
    </row>
    <row r="48" spans="1:4">
      <c r="A48" t="s">
        <v>483</v>
      </c>
      <c r="B48" t="s">
        <v>859</v>
      </c>
      <c r="C48" t="s">
        <v>865</v>
      </c>
      <c r="D48">
        <v>10</v>
      </c>
    </row>
    <row r="49" spans="1:4">
      <c r="A49" t="s">
        <v>869</v>
      </c>
      <c r="B49" t="s">
        <v>859</v>
      </c>
      <c r="C49" t="s">
        <v>865</v>
      </c>
      <c r="D49">
        <v>4</v>
      </c>
    </row>
    <row r="50" spans="1:4">
      <c r="A50" t="s">
        <v>150</v>
      </c>
      <c r="B50" t="s">
        <v>859</v>
      </c>
      <c r="C50" t="s">
        <v>865</v>
      </c>
      <c r="D50">
        <v>52</v>
      </c>
    </row>
    <row r="51" spans="1:4">
      <c r="A51" t="s">
        <v>870</v>
      </c>
      <c r="B51" t="s">
        <v>859</v>
      </c>
      <c r="C51" t="s">
        <v>865</v>
      </c>
      <c r="D51">
        <v>519</v>
      </c>
    </row>
    <row r="52" spans="1:4">
      <c r="D52">
        <v>76</v>
      </c>
    </row>
    <row r="53" spans="1:4">
      <c r="A53" t="s">
        <v>120</v>
      </c>
      <c r="B53" t="s">
        <v>15</v>
      </c>
      <c r="C53" t="s">
        <v>871</v>
      </c>
      <c r="D53">
        <v>22</v>
      </c>
    </row>
    <row r="54" spans="1:4">
      <c r="A54" t="s">
        <v>485</v>
      </c>
      <c r="B54" t="s">
        <v>15</v>
      </c>
      <c r="C54" t="s">
        <v>871</v>
      </c>
      <c r="D54">
        <v>45</v>
      </c>
    </row>
    <row r="55" spans="1:4">
      <c r="A55" t="s">
        <v>116</v>
      </c>
      <c r="B55" t="s">
        <v>856</v>
      </c>
      <c r="C55" t="s">
        <v>871</v>
      </c>
      <c r="D55">
        <v>60</v>
      </c>
    </row>
    <row r="56" spans="1:4">
      <c r="A56" t="s">
        <v>144</v>
      </c>
      <c r="B56" t="s">
        <v>856</v>
      </c>
      <c r="C56" t="s">
        <v>871</v>
      </c>
      <c r="D56">
        <v>20</v>
      </c>
    </row>
    <row r="57" spans="1:4">
      <c r="A57" t="s">
        <v>481</v>
      </c>
      <c r="B57" t="s">
        <v>859</v>
      </c>
      <c r="C57" t="s">
        <v>871</v>
      </c>
      <c r="D57">
        <v>8</v>
      </c>
    </row>
    <row r="58" spans="1:4">
      <c r="D58">
        <v>67</v>
      </c>
    </row>
    <row r="59" spans="1:4">
      <c r="A59" t="s">
        <v>320</v>
      </c>
      <c r="B59" t="s">
        <v>15</v>
      </c>
      <c r="C59" t="s">
        <v>872</v>
      </c>
      <c r="D59">
        <v>19</v>
      </c>
    </row>
    <row r="60" spans="1:4">
      <c r="A60" t="s">
        <v>333</v>
      </c>
      <c r="B60" t="s">
        <v>15</v>
      </c>
      <c r="C60" t="s">
        <v>872</v>
      </c>
      <c r="D60">
        <v>83</v>
      </c>
    </row>
    <row r="61" spans="1:4">
      <c r="A61" s="2" t="s">
        <v>361</v>
      </c>
      <c r="B61" t="s">
        <v>15</v>
      </c>
      <c r="C61" t="s">
        <v>872</v>
      </c>
      <c r="D61">
        <v>25</v>
      </c>
    </row>
    <row r="62" spans="1:4">
      <c r="A62" s="2" t="s">
        <v>364</v>
      </c>
      <c r="B62" t="s">
        <v>15</v>
      </c>
      <c r="C62" t="s">
        <v>872</v>
      </c>
      <c r="D62">
        <v>36</v>
      </c>
    </row>
    <row r="63" spans="1:4">
      <c r="A63" s="1" t="s">
        <v>873</v>
      </c>
      <c r="B63" t="s">
        <v>15</v>
      </c>
      <c r="C63" t="s">
        <v>872</v>
      </c>
      <c r="D63">
        <v>124</v>
      </c>
    </row>
    <row r="64" spans="1:4">
      <c r="A64" s="1"/>
      <c r="D64">
        <f>SUM(D59:D63)</f>
        <v>287</v>
      </c>
    </row>
    <row r="65" spans="1:4">
      <c r="A65" t="s">
        <v>328</v>
      </c>
      <c r="B65" t="s">
        <v>856</v>
      </c>
      <c r="C65" t="s">
        <v>872</v>
      </c>
      <c r="D65">
        <v>14</v>
      </c>
    </row>
    <row r="66" spans="1:4">
      <c r="A66" t="s">
        <v>336</v>
      </c>
      <c r="B66" t="s">
        <v>856</v>
      </c>
      <c r="C66" t="s">
        <v>872</v>
      </c>
      <c r="D66">
        <v>30</v>
      </c>
    </row>
    <row r="67" spans="1:4">
      <c r="A67" t="s">
        <v>874</v>
      </c>
      <c r="B67" t="s">
        <v>856</v>
      </c>
      <c r="C67" t="s">
        <v>872</v>
      </c>
      <c r="D67">
        <v>13</v>
      </c>
    </row>
    <row r="68" spans="1:4">
      <c r="A68" t="s">
        <v>372</v>
      </c>
      <c r="B68" t="s">
        <v>856</v>
      </c>
      <c r="C68" t="s">
        <v>872</v>
      </c>
      <c r="D68">
        <v>505</v>
      </c>
    </row>
    <row r="69" spans="1:4">
      <c r="A69" t="s">
        <v>875</v>
      </c>
      <c r="B69" t="s">
        <v>856</v>
      </c>
      <c r="C69" t="s">
        <v>872</v>
      </c>
      <c r="D69">
        <v>13</v>
      </c>
    </row>
    <row r="70" spans="1:4">
      <c r="A70" t="s">
        <v>394</v>
      </c>
      <c r="B70" t="s">
        <v>856</v>
      </c>
      <c r="C70" t="s">
        <v>872</v>
      </c>
      <c r="D70">
        <v>12</v>
      </c>
    </row>
    <row r="71" spans="1:4">
      <c r="A71" t="s">
        <v>417</v>
      </c>
      <c r="B71" t="s">
        <v>856</v>
      </c>
      <c r="C71" t="s">
        <v>872</v>
      </c>
      <c r="D71">
        <v>13</v>
      </c>
    </row>
    <row r="72" spans="1:4">
      <c r="A72" t="s">
        <v>338</v>
      </c>
      <c r="B72" t="s">
        <v>859</v>
      </c>
      <c r="C72" t="s">
        <v>872</v>
      </c>
      <c r="D72">
        <v>36</v>
      </c>
    </row>
    <row r="73" spans="1:4">
      <c r="A73" t="s">
        <v>378</v>
      </c>
      <c r="B73" t="s">
        <v>859</v>
      </c>
      <c r="C73" t="s">
        <v>872</v>
      </c>
      <c r="D73">
        <v>18</v>
      </c>
    </row>
    <row r="74" spans="1:4">
      <c r="A74" t="s">
        <v>427</v>
      </c>
      <c r="B74" t="s">
        <v>859</v>
      </c>
      <c r="C74" t="s">
        <v>872</v>
      </c>
      <c r="D74">
        <v>6</v>
      </c>
    </row>
    <row r="75" spans="1:4">
      <c r="A75" t="s">
        <v>330</v>
      </c>
      <c r="B75" t="s">
        <v>856</v>
      </c>
      <c r="C75" t="s">
        <v>876</v>
      </c>
      <c r="D75">
        <v>16</v>
      </c>
    </row>
    <row r="76" spans="1:4">
      <c r="A76" t="s">
        <v>369</v>
      </c>
      <c r="B76" t="s">
        <v>856</v>
      </c>
      <c r="C76" t="s">
        <v>876</v>
      </c>
      <c r="D76">
        <v>202</v>
      </c>
    </row>
    <row r="77" spans="1:4">
      <c r="A77" t="s">
        <v>877</v>
      </c>
      <c r="B77" t="s">
        <v>856</v>
      </c>
      <c r="C77" t="s">
        <v>876</v>
      </c>
      <c r="D77">
        <v>16</v>
      </c>
    </row>
    <row r="78" spans="1:4">
      <c r="A78" s="1" t="s">
        <v>402</v>
      </c>
      <c r="B78" t="s">
        <v>859</v>
      </c>
      <c r="C78" t="s">
        <v>876</v>
      </c>
      <c r="D78">
        <v>6</v>
      </c>
    </row>
    <row r="79" spans="1:4">
      <c r="A79" t="s">
        <v>404</v>
      </c>
      <c r="B79" t="s">
        <v>859</v>
      </c>
      <c r="C79" t="s">
        <v>876</v>
      </c>
      <c r="D79">
        <v>6</v>
      </c>
    </row>
    <row r="80" spans="1:4">
      <c r="A80" t="s">
        <v>406</v>
      </c>
      <c r="B80" t="s">
        <v>859</v>
      </c>
      <c r="C80" t="s">
        <v>876</v>
      </c>
      <c r="D80">
        <v>6</v>
      </c>
    </row>
    <row r="81" spans="1:4">
      <c r="A81" t="s">
        <v>408</v>
      </c>
      <c r="B81" t="s">
        <v>859</v>
      </c>
      <c r="C81" t="s">
        <v>876</v>
      </c>
      <c r="D81">
        <v>6</v>
      </c>
    </row>
    <row r="83" spans="1:4">
      <c r="A83" t="s">
        <v>878</v>
      </c>
      <c r="B83" t="s">
        <v>15</v>
      </c>
      <c r="C83" t="s">
        <v>14</v>
      </c>
      <c r="D83">
        <v>26</v>
      </c>
    </row>
    <row r="84" spans="1:4">
      <c r="A84" t="s">
        <v>474</v>
      </c>
      <c r="B84" t="s">
        <v>15</v>
      </c>
      <c r="C84" t="s">
        <v>14</v>
      </c>
      <c r="D84">
        <v>20</v>
      </c>
    </row>
    <row r="85" spans="1:4">
      <c r="A85" t="s">
        <v>475</v>
      </c>
      <c r="B85" t="s">
        <v>15</v>
      </c>
      <c r="C85" t="s">
        <v>14</v>
      </c>
      <c r="D85">
        <v>24</v>
      </c>
    </row>
    <row r="86" spans="1:4">
      <c r="A86" t="s">
        <v>341</v>
      </c>
      <c r="B86" t="s">
        <v>856</v>
      </c>
      <c r="C86" t="s">
        <v>14</v>
      </c>
      <c r="D86">
        <v>20</v>
      </c>
    </row>
    <row r="87" spans="1:4">
      <c r="A87" t="s">
        <v>879</v>
      </c>
      <c r="B87" t="s">
        <v>856</v>
      </c>
      <c r="C87" t="s">
        <v>14</v>
      </c>
      <c r="D87">
        <v>38</v>
      </c>
    </row>
    <row r="88" spans="1:4">
      <c r="A88" t="s">
        <v>880</v>
      </c>
      <c r="B88" t="s">
        <v>856</v>
      </c>
      <c r="C88" t="s">
        <v>14</v>
      </c>
      <c r="D88">
        <v>38</v>
      </c>
    </row>
    <row r="89" spans="1:4">
      <c r="A89" t="s">
        <v>61</v>
      </c>
      <c r="B89" t="s">
        <v>859</v>
      </c>
      <c r="C89" t="s">
        <v>14</v>
      </c>
      <c r="D89">
        <v>13</v>
      </c>
    </row>
    <row r="90" spans="1:4">
      <c r="A90" t="s">
        <v>65</v>
      </c>
      <c r="B90" t="s">
        <v>859</v>
      </c>
      <c r="C90" t="s">
        <v>14</v>
      </c>
      <c r="D90">
        <v>27</v>
      </c>
    </row>
    <row r="91" spans="1:4">
      <c r="D91">
        <v>70</v>
      </c>
    </row>
    <row r="92" spans="1:4">
      <c r="A92" t="s">
        <v>309</v>
      </c>
      <c r="B92" t="s">
        <v>15</v>
      </c>
      <c r="C92" t="s">
        <v>881</v>
      </c>
      <c r="D92">
        <v>18</v>
      </c>
    </row>
    <row r="93" spans="1:4">
      <c r="A93" t="s">
        <v>490</v>
      </c>
      <c r="B93" t="s">
        <v>856</v>
      </c>
      <c r="C93" t="s">
        <v>881</v>
      </c>
      <c r="D93">
        <v>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simple</vt:lpstr>
      <vt:lpstr>Condidataes</vt:lpstr>
      <vt:lpstr>exclude</vt:lpstr>
      <vt:lpstr>RG10N</vt:lpstr>
      <vt:lpstr>MGCDB84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ωB97M-V: A combinatorially optimized, range-separated hybrid, meta-GGA density functional with VV10 nonlocal correlation</dc:title>
  <dc:subject>J. Chem. Phys. 2016.144:214110</dc:subject>
  <dc:creator>Narbe Mardirossian and Martin Head-Gordon</dc:creator>
  <cp:lastModifiedBy>Sun, Ming</cp:lastModifiedBy>
  <dcterms:created xsi:type="dcterms:W3CDTF">2023-02-07T01:07:00Z</dcterms:created>
  <dcterms:modified xsi:type="dcterms:W3CDTF">2025-11-02T03:13:03Z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2023-02-06T00:00:00Z</vt:filetime>
  </property>
  <property fmtid="{D5CDD505-2E9C-101B-9397-08002B2CF9AE}" pid="3" name="Creator">
    <vt:lpwstr>AIP</vt:lpwstr>
  </property>
  <property fmtid="{D5CDD505-2E9C-101B-9397-08002B2CF9AE}" pid="4" name="LastSaved">
    <vt:filetime>2023-02-07T00:00:00Z</vt:filetime>
  </property>
  <property fmtid="{D5CDD505-2E9C-101B-9397-08002B2CF9AE}" pid="5" name="Producer">
    <vt:lpwstr>iText 4.2.0 by 1T3XT</vt:lpwstr>
  </property>
  <property fmtid="{D5CDD505-2E9C-101B-9397-08002B2CF9AE}" pid="6" name="ICV">
    <vt:lpwstr>243394D5071B4A419BE62209E9791B8E_12</vt:lpwstr>
  </property>
  <property fmtid="{D5CDD505-2E9C-101B-9397-08002B2CF9AE}" pid="7" name="KSOProductBuildVer">
    <vt:lpwstr>2052-12.1.0.21915</vt:lpwstr>
  </property>
</Properties>
</file>